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Jadval" sheetId="1" state="visible" r:id="rId1"/>
    <sheet name="Savollar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<sst xmlns="http://schemas.openxmlformats.org/spreadsheetml/2006/main" count="163" uniqueCount="163">
  <si>
    <t xml:space="preserve">Sales Table</t>
  </si>
  <si>
    <t xml:space="preserve">Quantity sum</t>
  </si>
  <si>
    <t xml:space="preserve">Cost sum</t>
  </si>
  <si>
    <t xml:space="preserve">Ali's Quantity</t>
  </si>
  <si>
    <t xml:space="preserve">Jasur's Quantity</t>
  </si>
  <si>
    <t xml:space="preserve">Chips's Total Cost Sum</t>
  </si>
  <si>
    <t xml:space="preserve">Choy's Total Cost Sum</t>
  </si>
  <si>
    <t xml:space="preserve">Quantity &gt; 20 Total Cost Sum</t>
  </si>
  <si>
    <t xml:space="preserve">Quantity &lt; 10 Total Cost Sum</t>
  </si>
  <si>
    <t xml:space="preserve">Quantity = 30 Total Cost Sum</t>
  </si>
  <si>
    <t xml:space="preserve">Ali's and Chip's Sum Quantity</t>
  </si>
  <si>
    <t xml:space="preserve">Jasur's and Choy's Sum Quantity</t>
  </si>
  <si>
    <t xml:space="preserve">Quantity &gt; 20 ? "Katta savdo" : "Oddiy"</t>
  </si>
  <si>
    <t xml:space="preserve">Quantity &gt; 30 ? "Top savdo" : "Normal"</t>
  </si>
  <si>
    <t xml:space="preserve">Product = "Makaron" ? "Tez sotiladi" : "Oddiy"</t>
  </si>
  <si>
    <t xml:space="preserve">Quantity &gt; 20 OR Cost &gt; 50000 ? "Katta savdo"</t>
  </si>
  <si>
    <t xml:space="preserve">!(Product = "Guruch") ? "Non-staple"</t>
  </si>
  <si>
    <t xml:space="preserve">Product with SalesID</t>
  </si>
  <si>
    <t xml:space="preserve">Cost with SalesID</t>
  </si>
  <si>
    <t>Date</t>
  </si>
  <si>
    <t xml:space="preserve">Sales ID</t>
  </si>
  <si>
    <t xml:space="preserve">Sales Manager</t>
  </si>
  <si>
    <t>Product</t>
  </si>
  <si>
    <t>Cost</t>
  </si>
  <si>
    <t>Quantity</t>
  </si>
  <si>
    <t xml:space="preserve">Total Cost</t>
  </si>
  <si>
    <t xml:space="preserve">Discount 2 %</t>
  </si>
  <si>
    <t xml:space="preserve">1- iyul 2026</t>
  </si>
  <si>
    <t>ID693</t>
  </si>
  <si>
    <t>Jasur</t>
  </si>
  <si>
    <t>Chips</t>
  </si>
  <si>
    <t xml:space="preserve">2 -iyul 2026</t>
  </si>
  <si>
    <t>ID1445</t>
  </si>
  <si>
    <t>Farrux</t>
  </si>
  <si>
    <t>Choy</t>
  </si>
  <si>
    <t xml:space="preserve">3 -iyul 2026</t>
  </si>
  <si>
    <t>ID337</t>
  </si>
  <si>
    <t>Doniyor</t>
  </si>
  <si>
    <t>Grechka</t>
  </si>
  <si>
    <t xml:space="preserve">4 -iyul 2026</t>
  </si>
  <si>
    <t>ID495</t>
  </si>
  <si>
    <t>Nozim</t>
  </si>
  <si>
    <t>Guruch</t>
  </si>
  <si>
    <t xml:space="preserve">5 -iyul 2026</t>
  </si>
  <si>
    <t>ID433</t>
  </si>
  <si>
    <t>Ali</t>
  </si>
  <si>
    <t>Konfet</t>
  </si>
  <si>
    <t xml:space="preserve">First sales Ali's</t>
  </si>
  <si>
    <t xml:space="preserve">Quantity Max</t>
  </si>
  <si>
    <t xml:space="preserve">Cost Min</t>
  </si>
  <si>
    <t xml:space="preserve">6 -iyul 2026</t>
  </si>
  <si>
    <t>ID3101</t>
  </si>
  <si>
    <t>G'ayrat</t>
  </si>
  <si>
    <t xml:space="preserve">Kungaboqar urug‘i</t>
  </si>
  <si>
    <t xml:space="preserve">7 -iyul 2026</t>
  </si>
  <si>
    <t>ID2319</t>
  </si>
  <si>
    <t>Axror</t>
  </si>
  <si>
    <t>Makaron</t>
  </si>
  <si>
    <t xml:space="preserve">8 -iyul 2026</t>
  </si>
  <si>
    <t>ID2635</t>
  </si>
  <si>
    <t>No'xat</t>
  </si>
  <si>
    <t xml:space="preserve">9 -iyul 2026</t>
  </si>
  <si>
    <t>ID1627</t>
  </si>
  <si>
    <t>Pechenye</t>
  </si>
  <si>
    <t xml:space="preserve">10 -iyul 2026</t>
  </si>
  <si>
    <t>ID2619</t>
  </si>
  <si>
    <t>Pista</t>
  </si>
  <si>
    <t xml:space="preserve">11 -iyul 2026</t>
  </si>
  <si>
    <t>ID1225</t>
  </si>
  <si>
    <t>Qahva</t>
  </si>
  <si>
    <t xml:space="preserve">12 -iyul 2026</t>
  </si>
  <si>
    <t>ID341</t>
  </si>
  <si>
    <t xml:space="preserve">Qovoq urug‘i</t>
  </si>
  <si>
    <t xml:space="preserve">13 -iyul 2026</t>
  </si>
  <si>
    <t>ID2001</t>
  </si>
  <si>
    <t>Shakar</t>
  </si>
  <si>
    <t xml:space="preserve">14 -iyul 2026</t>
  </si>
  <si>
    <t>ID1813</t>
  </si>
  <si>
    <t xml:space="preserve">Shokolad batonchik</t>
  </si>
  <si>
    <t xml:space="preserve">15 -iyul 2026</t>
  </si>
  <si>
    <t>ID3331</t>
  </si>
  <si>
    <t>Asal</t>
  </si>
  <si>
    <t xml:space="preserve">16 -iyul 2026</t>
  </si>
  <si>
    <t>ID3493</t>
  </si>
  <si>
    <t>Tuz</t>
  </si>
  <si>
    <t xml:space="preserve">17 -iyul 2026</t>
  </si>
  <si>
    <t>ID2202</t>
  </si>
  <si>
    <t xml:space="preserve">Yer yong‘oq</t>
  </si>
  <si>
    <t xml:space="preserve">18 -iyul 2026</t>
  </si>
  <si>
    <t>ID395</t>
  </si>
  <si>
    <t xml:space="preserve">19 -iyul 2026</t>
  </si>
  <si>
    <t>ID2326</t>
  </si>
  <si>
    <t xml:space="preserve">20 -iyul 2026</t>
  </si>
  <si>
    <t>ID997</t>
  </si>
  <si>
    <t xml:space="preserve">21 -iyul 2026</t>
  </si>
  <si>
    <t>ID710</t>
  </si>
  <si>
    <t xml:space="preserve">22 -iyul 2026</t>
  </si>
  <si>
    <t>ID820</t>
  </si>
  <si>
    <t xml:space="preserve">23 -iyul 2026</t>
  </si>
  <si>
    <t>ID1579</t>
  </si>
  <si>
    <t xml:space="preserve">24 -iyul 2026</t>
  </si>
  <si>
    <t>ID1812</t>
  </si>
  <si>
    <t xml:space="preserve">25 -iyul 2026</t>
  </si>
  <si>
    <t>ID2556</t>
  </si>
  <si>
    <t xml:space="preserve">26 -iyul 2026</t>
  </si>
  <si>
    <t>ID514</t>
  </si>
  <si>
    <t xml:space="preserve">27 -iyul 2026</t>
  </si>
  <si>
    <t xml:space="preserve">28 -iyul 2026</t>
  </si>
  <si>
    <t>ID3115</t>
  </si>
  <si>
    <t xml:space="preserve">29 -iyul 2026</t>
  </si>
  <si>
    <t>ID1834</t>
  </si>
  <si>
    <t xml:space="preserve">30 -iyul 2026</t>
  </si>
  <si>
    <t>ID973</t>
  </si>
  <si>
    <t xml:space="preserve">31 -iyul 2026</t>
  </si>
  <si>
    <t>ID668</t>
  </si>
  <si>
    <t xml:space="preserve">1 - avgust 2026</t>
  </si>
  <si>
    <t>ID3250</t>
  </si>
  <si>
    <t xml:space="preserve">2 - avgust 2026</t>
  </si>
  <si>
    <t>ID366</t>
  </si>
  <si>
    <t xml:space="preserve">3 - avgust 2026</t>
  </si>
  <si>
    <t>ID2044</t>
  </si>
  <si>
    <t xml:space="preserve">4 - avgust 2026</t>
  </si>
  <si>
    <t>ID2506</t>
  </si>
  <si>
    <t xml:space="preserve">5 - avgust 2026</t>
  </si>
  <si>
    <t xml:space="preserve">6 - avgust 2026</t>
  </si>
  <si>
    <t>ID2218</t>
  </si>
  <si>
    <t xml:space="preserve">7 - avgust 2026</t>
  </si>
  <si>
    <t>ID1435</t>
  </si>
  <si>
    <t xml:space="preserve">8 - avgust 2026</t>
  </si>
  <si>
    <t>ID2123</t>
  </si>
  <si>
    <t xml:space="preserve">9 - avgust 2026</t>
  </si>
  <si>
    <t>ID2067</t>
  </si>
  <si>
    <t xml:space="preserve">10 - avgust 2026</t>
  </si>
  <si>
    <t>ID644</t>
  </si>
  <si>
    <t xml:space="preserve">11 - avgust 2026</t>
  </si>
  <si>
    <t>ID3017</t>
  </si>
  <si>
    <t xml:space="preserve">12 - avgust 2026</t>
  </si>
  <si>
    <t>ID2380</t>
  </si>
  <si>
    <t xml:space="preserve">Jadvalga biror bir nom bering</t>
  </si>
  <si>
    <t xml:space="preserve">Total costni hisoblang</t>
  </si>
  <si>
    <t xml:space="preserve">Discountni hisoblang</t>
  </si>
  <si>
    <t xml:space="preserve">Barcha Quantity yig‘indisini hisoblang</t>
  </si>
  <si>
    <t xml:space="preserve">Barcha Cost yig‘indisini hisoblang</t>
  </si>
  <si>
    <t xml:space="preserve">"Ali" sotgan Quantity yig‘indisini hisoblang</t>
  </si>
  <si>
    <t xml:space="preserve">"Jasur" sotgan Quantity yig‘indisini hisoblang</t>
  </si>
  <si>
    <t xml:space="preserve">"Chips" bo‘yicha Total Cost yig‘indisini toping</t>
  </si>
  <si>
    <t xml:space="preserve">"Choy" bo‘yicha Total Cost yig‘indisini toping</t>
  </si>
  <si>
    <t xml:space="preserve">Quantity &gt; 20 bo‘lgan qatorlar bo‘yicha Total Cost yig‘indisini toping</t>
  </si>
  <si>
    <t xml:space="preserve">Quantity &lt; 10 bo‘lgan qatorlar bo‘yicha Total Cost yig‘indisini toping</t>
  </si>
  <si>
    <t xml:space="preserve">Quantity = 30 bo‘lgan qatorlar bo‘yicha Total Cost yig‘indisini toping</t>
  </si>
  <si>
    <t xml:space="preserve">"Ali" + "Chips" bo‘yicha Quantity yig‘indisini toping</t>
  </si>
  <si>
    <t xml:space="preserve">"Jasur" + "Choy" bo‘yicha Quantity yig‘indisini toping</t>
  </si>
  <si>
    <t xml:space="preserve">Agar Quantity &gt; 20 bo‘lsa → "Katta savdo", aks holda "Oddiy"</t>
  </si>
  <si>
    <t xml:space="preserve">Agar Quantity &gt; 30 bo‘lsa → "Top savdo", aks holda "Normal"</t>
  </si>
  <si>
    <t xml:space="preserve">Agar Product = "Makaron" bo‘lsa → "Tez sotiladi", aks holda "Oddiy"</t>
  </si>
  <si>
    <t xml:space="preserve">Agar Quantity &gt; 20 OR Cost &gt; 50000 → "Katta savdo"</t>
  </si>
  <si>
    <t xml:space="preserve">Agar NOT(Product = "Guruch") → "Non-staple"</t>
  </si>
  <si>
    <t xml:space="preserve">Sales ID orqali Product ni toping</t>
  </si>
  <si>
    <t xml:space="preserve">Sales ID orqali Product ni toping, agar topilmasa → "Topilmadi" chiqsin</t>
  </si>
  <si>
    <t xml:space="preserve">Sales ID orqali Cost ni toping, agar Cost &gt; 50000 bo‘lsa → "Qimmat", aks holda "Arzon"</t>
  </si>
  <si>
    <t xml:space="preserve">Sales Manager = "Ali" → birinchi sotgan mahsulotini toping</t>
  </si>
  <si>
    <t xml:space="preserve">Quantity ustunidagi eng katta qiymatni toping</t>
  </si>
  <si>
    <t xml:space="preserve">Cost ustunidagi eng kichik qiymatni toping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</si>
</sst>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\ [$soʻm-443]_-;\-* #,##0\ [$soʻm-443]_-;_-* &quot;-&quot;??\ [$soʻm-443]_-;_-@_-"/>
    <numFmt numFmtId="165" formatCode="_-* #,##0.00\ [$soʻm-443]_-;\-* #,##0.00\ [$soʻm-443]_-;_-* &quot;-&quot;??\ [$soʻm-443]_-;_-@_-"/>
  </numFmts>
  <fonts count="4">
    <font>
      <sz val="11.000000"/>
      <color theme="1"/>
      <name val="Calibri"/>
      <scheme val="minor"/>
    </font>
    <font>
      <b/>
      <sz val="26.000000"/>
      <name val="Times New Roman"/>
    </font>
    <font>
      <b/>
      <sz val="11.000000"/>
      <color theme="1"/>
      <name val="Times New Roman"/>
    </font>
    <font>
      <sz val="11.000000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</patternFill>
    </fill>
    <fill>
      <patternFill patternType="solid">
        <fgColor theme="9" tint="0.39997558519241921"/>
      </patternFill>
    </fill>
    <fill>
      <patternFill patternType="solid">
        <fgColor theme="9" tint="0.79998168889431442"/>
      </patternFill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2" fillId="3" borderId="5" numFmtId="0" xfId="0" applyFont="1" applyFill="1" applyBorder="1" applyAlignment="1">
      <alignment horizontal="center" vertical="center"/>
    </xf>
    <xf fontId="2" fillId="3" borderId="6" numFmtId="0" xfId="0" applyFont="1" applyFill="1" applyBorder="1" applyAlignment="1">
      <alignment horizontal="center" vertical="center"/>
    </xf>
    <xf fontId="2" fillId="3" borderId="7" numFmtId="0" xfId="0" applyFont="1" applyFill="1" applyBorder="1" applyAlignment="1">
      <alignment horizontal="center" vertical="center"/>
    </xf>
    <xf fontId="0" fillId="0" borderId="4" numFmtId="164" xfId="0" applyNumberFormat="1" applyBorder="1" applyAlignment="1">
      <alignment horizontal="center" vertical="center"/>
    </xf>
    <xf fontId="3" fillId="4" borderId="8" numFmtId="0" xfId="0" applyFont="1" applyFill="1" applyBorder="1" applyAlignment="1">
      <alignment horizontal="center" vertical="center"/>
    </xf>
    <xf fontId="3" fillId="4" borderId="9" numFmtId="0" xfId="0" applyFont="1" applyFill="1" applyBorder="1" applyAlignment="1">
      <alignment horizontal="center" vertical="center"/>
    </xf>
    <xf fontId="3" fillId="4" borderId="9" numFmtId="164" xfId="0" applyNumberFormat="1" applyFont="1" applyFill="1" applyBorder="1" applyAlignment="1">
      <alignment horizontal="center" vertical="center"/>
    </xf>
    <xf fontId="3" fillId="4" borderId="9" numFmtId="165" xfId="0" applyNumberFormat="1" applyFont="1" applyFill="1" applyBorder="1" applyAlignment="1">
      <alignment horizontal="center" vertical="center"/>
    </xf>
    <xf fontId="3" fillId="4" borderId="10" numFmtId="165" xfId="0" applyNumberFormat="1" applyFont="1" applyFill="1" applyBorder="1" applyAlignment="1">
      <alignment horizontal="center" vertical="center"/>
    </xf>
    <xf fontId="0" fillId="0" borderId="0" numFmtId="0" xfId="0" applyAlignment="1">
      <alignment vertical="center"/>
    </xf>
    <xf fontId="3" fillId="4" borderId="11" numFmtId="0" xfId="0" applyFont="1" applyFill="1" applyBorder="1" applyAlignment="1">
      <alignment horizontal="center" vertical="center"/>
    </xf>
    <xf fontId="3" fillId="4" borderId="12" numFmtId="0" xfId="0" applyFont="1" applyFill="1" applyBorder="1" applyAlignment="1">
      <alignment horizontal="center" vertical="center"/>
    </xf>
    <xf fontId="3" fillId="4" borderId="13" numFmtId="0" xfId="0" applyFont="1" applyFill="1" applyBorder="1" applyAlignment="1">
      <alignment horizontal="center" vertical="center"/>
    </xf>
    <xf fontId="3" fillId="4" borderId="14" numFmtId="0" xfId="0" applyFont="1" applyFill="1" applyBorder="1" applyAlignment="1">
      <alignment horizontal="center" vertical="center"/>
    </xf>
    <xf fontId="3" fillId="4" borderId="15" numFmtId="0" xfId="0" applyFont="1" applyFill="1" applyBorder="1" applyAlignment="1">
      <alignment horizontal="center" vertical="center"/>
    </xf>
    <xf fontId="3" fillId="4" borderId="14" numFmtId="164" xfId="0" applyNumberFormat="1" applyFont="1" applyFill="1" applyBorder="1" applyAlignment="1">
      <alignment horizontal="center" vertical="center"/>
    </xf>
    <xf fontId="0" fillId="0" borderId="0" numFmtId="0" xfId="0" applyAlignment="1">
      <alignment horizontal="left"/>
    </xf>
    <xf fontId="0" fillId="0" borderId="0" numFmt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V35" zoomScale="100" workbookViewId="0">
      <selection activeCell="K11" activeCellId="0" sqref="K11"/>
    </sheetView>
  </sheetViews>
  <sheetFormatPr defaultRowHeight="14.25"/>
  <cols>
    <col bestFit="1" customWidth="1" min="1" max="1" width="14.61328125"/>
    <col bestFit="1" customWidth="1" min="2" max="2" width="8.109375"/>
    <col bestFit="1" customWidth="1" min="3" max="3" width="13.6640625"/>
    <col bestFit="1" customWidth="1" min="4" max="4" width="16.88671875"/>
    <col bestFit="1" customWidth="1" min="5" max="5" width="13.5546875"/>
    <col bestFit="1" customWidth="1" min="6" max="6" width="8.6640625"/>
    <col bestFit="1" customWidth="1" min="7" max="7" width="17.6640625"/>
    <col bestFit="1" customWidth="1" min="8" max="8" width="14.8125"/>
    <col bestFit="1" min="9" max="9" width="12.421875"/>
    <col bestFit="1" min="10" max="10" width="15.00390625"/>
    <col bestFit="1" min="11" max="11" width="12.5234375"/>
    <col bestFit="1" min="12" max="12" width="14.23046875"/>
    <col bestFit="1" min="13" max="13" width="20.140625"/>
    <col bestFit="1" min="14" max="14" width="19.8515625"/>
    <col bestFit="1" min="15" max="17" width="25.76171875"/>
    <col bestFit="1" min="18" max="18" width="26.04296875"/>
    <col bestFit="1" min="19" max="19" width="28.8125"/>
    <col bestFit="1" min="20" max="20" width="40.04296875"/>
    <col bestFit="1" min="21" max="21" width="34.421875"/>
    <col bestFit="1" min="22" max="22" width="40.8125"/>
    <col bestFit="1" min="23" max="23" width="40.61328125"/>
    <col bestFit="1" min="24" max="24" width="32.7109375"/>
    <col bestFit="1" min="25" max="25" width="18.33203125"/>
    <col bestFit="1" min="26" max="26" width="18.5234375"/>
    <col bestFit="1" min="27" max="27" width="15.57421875"/>
  </cols>
  <sheetData>
    <row r="1" ht="30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5" t="s">
        <v>15</v>
      </c>
      <c r="X1" s="6" t="s">
        <v>16</v>
      </c>
      <c r="Y1" s="5" t="s">
        <v>17</v>
      </c>
      <c r="Z1" s="4" t="s">
        <v>17</v>
      </c>
      <c r="AA1" s="5" t="s">
        <v>18</v>
      </c>
    </row>
    <row r="2">
      <c r="A2" s="7" t="s">
        <v>19</v>
      </c>
      <c r="B2" s="8" t="s">
        <v>20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9" t="s">
        <v>26</v>
      </c>
      <c r="I2" s="4">
        <f>SUM(F3:F45)</f>
        <v>699</v>
      </c>
      <c r="J2" s="10">
        <f>SUM(E3:E45)</f>
        <v>1804000</v>
      </c>
      <c r="K2" s="4">
        <f>SUMIF(C3:C45,C38,F3:F45)</f>
        <v>92</v>
      </c>
      <c r="L2" s="4">
        <f>SUMIF(C3:C45,C3,F3:F45)</f>
        <v>59</v>
      </c>
      <c r="M2" s="4">
        <f>SUMIF(D3:D45,D3,G3:G45)</f>
        <v>465000</v>
      </c>
      <c r="N2" s="4">
        <f>SUMIF(D3:D45,D4,G3:G45)</f>
        <v>920000</v>
      </c>
      <c r="O2" s="4">
        <f>SUMIF(F3:F45,"&gt;20",G3:G45)</f>
        <v>19818000</v>
      </c>
      <c r="P2" s="4">
        <f>SUMIF(F3:F45,"&lt;10",G3:G45)</f>
        <v>3023000</v>
      </c>
      <c r="Q2" s="4">
        <f>SUMIF(F3:F45,"=30",G3:G45)</f>
        <v>1500000</v>
      </c>
      <c r="R2" s="4">
        <f>SUMIFS(F3:F45,C3:C45,C38,D3:D45,D3)</f>
        <v>0</v>
      </c>
      <c r="S2" s="4">
        <f>SUMIFS(F3:F45,C3:C45,C3,D3:D45,D24)</f>
        <v>12</v>
      </c>
      <c r="T2" s="4"/>
      <c r="U2" s="4"/>
      <c r="V2" s="4"/>
      <c r="W2" s="5"/>
      <c r="X2" s="6"/>
      <c r="Y2" s="5"/>
      <c r="Z2" s="4"/>
      <c r="AA2" s="5"/>
    </row>
    <row r="3">
      <c r="A3" s="11" t="s">
        <v>27</v>
      </c>
      <c r="B3" s="12" t="s">
        <v>28</v>
      </c>
      <c r="C3" s="12" t="s">
        <v>29</v>
      </c>
      <c r="D3" s="12" t="s">
        <v>30</v>
      </c>
      <c r="E3" s="13">
        <v>15000</v>
      </c>
      <c r="F3" s="12">
        <v>12</v>
      </c>
      <c r="G3" s="14">
        <f t="shared" ref="G3:G9" si="0">E3*F3</f>
        <v>180000</v>
      </c>
      <c r="H3" s="15">
        <f t="shared" ref="H3:H9" si="1">(G3*2)/100</f>
        <v>3600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4" t="str">
        <f t="shared" ref="T3:T9" si="2">IF(F3&gt;20,"Katta savdo","Oddiy")</f>
        <v>Oddiy</v>
      </c>
      <c r="U3" s="4" t="str">
        <f t="shared" ref="U3:U9" si="3">IF(F3&gt;30,"Top savdo","Normal")</f>
        <v>Normal</v>
      </c>
      <c r="V3" s="4" t="str">
        <f t="shared" ref="V3:V9" si="4">IF(D3="Makaron","Tez sotiladi","Oddiy")</f>
        <v>Oddiy</v>
      </c>
      <c r="W3" s="4" t="b">
        <f>IF(OR(F3&gt;20,_xlfn.SINGLE(E3:E45)&gt;50000),"Katta savdo")</f>
        <v>0</v>
      </c>
      <c r="X3" s="4" t="str">
        <f>IF(NOT(D3="Guruch"),"Non-staple")</f>
        <v>Non-staple</v>
      </c>
      <c r="Y3" s="4" t="str">
        <f>_xlfn.XLOOKUP(B3,$B$3:$B$45,D$3:D$45)</f>
        <v>Chips</v>
      </c>
      <c r="Z3" s="4" t="str">
        <f>_xlfn.XLOOKUP(B3,$B$3:$B$45,$D$3:$D$45,"Topilmadi")</f>
        <v>Chips</v>
      </c>
      <c r="AA3" s="4" t="str">
        <f>IF(_xlfn.XLOOKUP(B3,$B$3:$B$45,$E$3:$E$45)&gt;50000,"Qimmat","Arzon")</f>
        <v>Arzon</v>
      </c>
    </row>
    <row r="4">
      <c r="A4" s="11" t="s">
        <v>31</v>
      </c>
      <c r="B4" s="12" t="s">
        <v>32</v>
      </c>
      <c r="C4" s="12" t="s">
        <v>33</v>
      </c>
      <c r="D4" s="12" t="s">
        <v>34</v>
      </c>
      <c r="E4" s="13">
        <v>20000</v>
      </c>
      <c r="F4" s="12">
        <v>34</v>
      </c>
      <c r="G4" s="14">
        <f t="shared" si="0"/>
        <v>680000</v>
      </c>
      <c r="H4" s="15">
        <f t="shared" si="1"/>
        <v>13600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4" t="str">
        <f t="shared" si="2"/>
        <v xml:space="preserve">Katta savdo</v>
      </c>
      <c r="U4" s="4" t="str">
        <f t="shared" si="3"/>
        <v xml:space="preserve">Top savdo</v>
      </c>
      <c r="V4" s="4" t="str">
        <f t="shared" si="4"/>
        <v>Oddiy</v>
      </c>
      <c r="W4" s="4" t="str">
        <f>IF(OR(F4&gt;20,E4:E46&gt;50000),"Katta savdo")</f>
        <v xml:space="preserve">Katta savdo</v>
      </c>
      <c r="X4" s="4" t="str">
        <f>IF(NOT(D4="Guruch"),"Non-staple")</f>
        <v>Non-staple</v>
      </c>
      <c r="Y4" s="4" t="str">
        <f>_xlfn.XLOOKUP(B4,$B$3:$B$45,D$3:D$45)</f>
        <v>Choy</v>
      </c>
      <c r="Z4" s="4" t="str">
        <f>_xlfn.XLOOKUP(B4,$B$3:$B$45,$D$3:$D$45,"Topilmadi")</f>
        <v>Choy</v>
      </c>
      <c r="AA4" s="4" t="str">
        <f>IF(_xlfn.XLOOKUP(B4,$B$3:$B$45,$E$3:$E$45)&gt;50000,"Qimmat","Arzon")</f>
        <v>Arzon</v>
      </c>
    </row>
    <row r="5">
      <c r="A5" s="11" t="s">
        <v>35</v>
      </c>
      <c r="B5" s="12" t="s">
        <v>36</v>
      </c>
      <c r="C5" s="12" t="s">
        <v>37</v>
      </c>
      <c r="D5" s="12" t="s">
        <v>38</v>
      </c>
      <c r="E5" s="13">
        <v>12000</v>
      </c>
      <c r="F5" s="12">
        <v>5</v>
      </c>
      <c r="G5" s="14">
        <f t="shared" si="0"/>
        <v>60000</v>
      </c>
      <c r="H5" s="15">
        <f t="shared" si="1"/>
        <v>1200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4" t="str">
        <f t="shared" si="2"/>
        <v>Oddiy</v>
      </c>
      <c r="U5" s="4" t="str">
        <f t="shared" si="3"/>
        <v>Normal</v>
      </c>
      <c r="V5" s="4" t="str">
        <f t="shared" si="4"/>
        <v>Oddiy</v>
      </c>
      <c r="W5" s="4" t="b">
        <f>IF(OR(F5&gt;20,E5:E47&gt;50000),"Katta savdo")</f>
        <v>0</v>
      </c>
      <c r="X5" s="4" t="str">
        <f>IF(NOT(D5="Guruch"),"Non-staple")</f>
        <v>Non-staple</v>
      </c>
      <c r="Y5" s="4" t="str">
        <f>_xlfn.XLOOKUP(B5,$B$3:$B$45,D$3:D$45)</f>
        <v>Grechka</v>
      </c>
      <c r="Z5" s="4" t="str">
        <f>_xlfn.XLOOKUP(B5,$B$3:$B$45,$D$3:$D$45,"Topilmadi")</f>
        <v>Grechka</v>
      </c>
      <c r="AA5" s="4" t="str">
        <f>IF(_xlfn.XLOOKUP(B5,$B$3:$B$45,$E$3:$E$45)&gt;50000,"Qimmat","Arzon")</f>
        <v>Arzon</v>
      </c>
    </row>
    <row r="6">
      <c r="A6" s="11" t="s">
        <v>39</v>
      </c>
      <c r="B6" s="12" t="s">
        <v>40</v>
      </c>
      <c r="C6" s="12" t="s">
        <v>41</v>
      </c>
      <c r="D6" s="12" t="s">
        <v>42</v>
      </c>
      <c r="E6" s="13">
        <v>18000</v>
      </c>
      <c r="F6" s="12">
        <v>23</v>
      </c>
      <c r="G6" s="14">
        <f t="shared" si="0"/>
        <v>414000</v>
      </c>
      <c r="H6" s="15">
        <f t="shared" si="1"/>
        <v>8280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4" t="str">
        <f t="shared" si="2"/>
        <v xml:space="preserve">Katta savdo</v>
      </c>
      <c r="U6" s="4" t="str">
        <f t="shared" si="3"/>
        <v>Normal</v>
      </c>
      <c r="V6" s="4" t="str">
        <f t="shared" si="4"/>
        <v>Oddiy</v>
      </c>
      <c r="W6" s="4" t="str">
        <f>IF(OR(F6&gt;20,E6:E48&gt;50000),"Katta savdo")</f>
        <v xml:space="preserve">Katta savdo</v>
      </c>
      <c r="X6" s="4" t="b">
        <f>IF(NOT(D6="Guruch"),"Non-staple")</f>
        <v>0</v>
      </c>
      <c r="Y6" s="4" t="str">
        <f>_xlfn.XLOOKUP(B6,$B$3:$B$45,D$3:D$45)</f>
        <v>Guruch</v>
      </c>
      <c r="Z6" s="4" t="str">
        <f>_xlfn.XLOOKUP(B6,$B$3:$B$45,$D$3:$D$45,"Topilmadi")</f>
        <v>Guruch</v>
      </c>
      <c r="AA6" s="4" t="str">
        <f>IF(_xlfn.XLOOKUP(B6,$B$3:$B$45,$E$3:$E$45)&gt;50000,"Qimmat","Arzon")</f>
        <v>Arzon</v>
      </c>
    </row>
    <row r="7">
      <c r="A7" s="11" t="s">
        <v>43</v>
      </c>
      <c r="B7" s="12" t="s">
        <v>44</v>
      </c>
      <c r="C7" s="12" t="s">
        <v>45</v>
      </c>
      <c r="D7" s="12" t="s">
        <v>46</v>
      </c>
      <c r="E7" s="13">
        <v>75000</v>
      </c>
      <c r="F7" s="12">
        <v>11</v>
      </c>
      <c r="G7" s="14">
        <f t="shared" si="0"/>
        <v>825000</v>
      </c>
      <c r="H7" s="15">
        <f t="shared" si="1"/>
        <v>16500</v>
      </c>
      <c r="I7" s="16"/>
      <c r="J7" s="4" t="s">
        <v>47</v>
      </c>
      <c r="K7" s="4" t="s">
        <v>48</v>
      </c>
      <c r="L7" s="4" t="s">
        <v>49</v>
      </c>
      <c r="M7" s="16"/>
      <c r="N7" s="16"/>
      <c r="O7" s="16"/>
      <c r="P7" s="16"/>
      <c r="Q7" s="16"/>
      <c r="R7" s="16"/>
      <c r="S7" s="16"/>
      <c r="T7" s="4" t="str">
        <f t="shared" si="2"/>
        <v>Oddiy</v>
      </c>
      <c r="U7" s="4" t="str">
        <f t="shared" si="3"/>
        <v>Normal</v>
      </c>
      <c r="V7" s="4" t="str">
        <f t="shared" si="4"/>
        <v>Oddiy</v>
      </c>
      <c r="W7" s="4" t="str">
        <f>IF(OR(F7&gt;20,E7:E49&gt;50000),"Katta savdo")</f>
        <v xml:space="preserve">Katta savdo</v>
      </c>
      <c r="X7" s="4" t="str">
        <f>IF(NOT(D7="Guruch"),"Non-staple")</f>
        <v>Non-staple</v>
      </c>
      <c r="Y7" s="4" t="str">
        <f>_xlfn.XLOOKUP(B7,$B$3:$B$45,D$3:D$45)</f>
        <v>Konfet</v>
      </c>
      <c r="Z7" s="4" t="str">
        <f>_xlfn.XLOOKUP(B7,$B$3:$B$45,$D$3:$D$45,"Topilmadi")</f>
        <v>Konfet</v>
      </c>
      <c r="AA7" s="4" t="str">
        <f>IF(_xlfn.XLOOKUP(B7,$B$3:$B$45,$E$3:$E$45)&gt;50000,"Qimmat","Arzon")</f>
        <v>Qimmat</v>
      </c>
    </row>
    <row r="8">
      <c r="A8" s="11" t="s">
        <v>50</v>
      </c>
      <c r="B8" s="12" t="s">
        <v>51</v>
      </c>
      <c r="C8" s="12" t="s">
        <v>52</v>
      </c>
      <c r="D8" s="12" t="s">
        <v>53</v>
      </c>
      <c r="E8" s="13">
        <v>25000</v>
      </c>
      <c r="F8" s="12">
        <v>23</v>
      </c>
      <c r="G8" s="14">
        <f t="shared" si="0"/>
        <v>575000</v>
      </c>
      <c r="H8" s="15">
        <f t="shared" si="1"/>
        <v>11500</v>
      </c>
      <c r="I8" s="16"/>
      <c r="J8" s="4" t="str">
        <f>_xlfn.XLOOKUP(C11,C3:C45,D3:D45,0,1,1)</f>
        <v>Konfet</v>
      </c>
      <c r="K8" s="4">
        <f>MAX(F3:F45)</f>
        <v>40</v>
      </c>
      <c r="L8" s="10">
        <f>MIN(E3:E45)</f>
        <v>12000</v>
      </c>
      <c r="M8" s="16"/>
      <c r="N8" s="16"/>
      <c r="O8" s="16"/>
      <c r="P8" s="16"/>
      <c r="Q8" s="16"/>
      <c r="R8" s="16"/>
      <c r="S8" s="16"/>
      <c r="T8" s="4" t="str">
        <f t="shared" si="2"/>
        <v xml:space="preserve">Katta savdo</v>
      </c>
      <c r="U8" s="4" t="str">
        <f t="shared" si="3"/>
        <v>Normal</v>
      </c>
      <c r="V8" s="4" t="str">
        <f t="shared" si="4"/>
        <v>Oddiy</v>
      </c>
      <c r="W8" s="4" t="str">
        <f>IF(OR(F8&gt;20,E8:E50&gt;50000),"Katta savdo")</f>
        <v xml:space="preserve">Katta savdo</v>
      </c>
      <c r="X8" s="4" t="str">
        <f>IF(NOT(D8="Guruch"),"Non-staple")</f>
        <v>Non-staple</v>
      </c>
      <c r="Y8" s="4" t="str">
        <f>_xlfn.XLOOKUP(B8,$B$3:$B$45,D$3:D$45)</f>
        <v xml:space="preserve">Kungaboqar urug‘i</v>
      </c>
      <c r="Z8" s="4" t="str">
        <f>_xlfn.XLOOKUP(B8,$B$3:$B$45,$D$3:$D$45,"Topilmadi")</f>
        <v xml:space="preserve">Kungaboqar urug‘i</v>
      </c>
      <c r="AA8" s="4" t="str">
        <f>IF(_xlfn.XLOOKUP(B8,$B$3:$B$45,$E$3:$E$45)&gt;50000,"Qimmat","Arzon")</f>
        <v>Arzon</v>
      </c>
    </row>
    <row r="9">
      <c r="A9" s="11" t="s">
        <v>54</v>
      </c>
      <c r="B9" s="12" t="s">
        <v>55</v>
      </c>
      <c r="C9" s="12" t="s">
        <v>56</v>
      </c>
      <c r="D9" s="12" t="s">
        <v>57</v>
      </c>
      <c r="E9" s="13">
        <v>23000</v>
      </c>
      <c r="F9" s="12">
        <v>29</v>
      </c>
      <c r="G9" s="14">
        <f t="shared" si="0"/>
        <v>667000</v>
      </c>
      <c r="H9" s="15">
        <f t="shared" si="1"/>
        <v>13340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4" t="str">
        <f t="shared" si="2"/>
        <v xml:space="preserve">Katta savdo</v>
      </c>
      <c r="U9" s="4" t="str">
        <f t="shared" si="3"/>
        <v>Normal</v>
      </c>
      <c r="V9" s="4" t="str">
        <f t="shared" si="4"/>
        <v xml:space="preserve">Tez sotiladi</v>
      </c>
      <c r="W9" s="4" t="str">
        <f>IF(OR(F9&gt;20,E9:E51&gt;50000),"Katta savdo")</f>
        <v xml:space="preserve">Katta savdo</v>
      </c>
      <c r="X9" s="4" t="str">
        <f>IF(NOT(D9="Guruch"),"Non-staple")</f>
        <v>Non-staple</v>
      </c>
      <c r="Y9" s="4" t="str">
        <f>_xlfn.XLOOKUP(B9,$B$3:$B$45,D$3:D$45)</f>
        <v>Makaron</v>
      </c>
      <c r="Z9" s="4" t="str">
        <f>_xlfn.XLOOKUP(B9,$B$3:$B$45,$D$3:$D$45,"Topilmadi")</f>
        <v>Makaron</v>
      </c>
      <c r="AA9" s="4" t="str">
        <f>IF(_xlfn.XLOOKUP(B9,$B$3:$B$45,$E$3:$E$45)&gt;50000,"Qimmat","Arzon")</f>
        <v>Arzon</v>
      </c>
    </row>
    <row r="10">
      <c r="A10" s="11" t="s">
        <v>58</v>
      </c>
      <c r="B10" s="12" t="s">
        <v>59</v>
      </c>
      <c r="C10" s="12" t="s">
        <v>41</v>
      </c>
      <c r="D10" s="12" t="s">
        <v>60</v>
      </c>
      <c r="E10" s="13">
        <v>50000</v>
      </c>
      <c r="F10" s="12">
        <v>30</v>
      </c>
      <c r="G10" s="14">
        <f t="shared" ref="G10:G45" si="5">E10*F10</f>
        <v>1500000</v>
      </c>
      <c r="H10" s="15">
        <f t="shared" ref="H10:H45" si="6">(G10*2)/100</f>
        <v>30000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4" t="str">
        <f t="shared" ref="T10:T45" si="7">IF(F10&gt;20,"Katta savdo","Oddiy")</f>
        <v xml:space="preserve">Katta savdo</v>
      </c>
      <c r="U10" s="4" t="str">
        <f t="shared" ref="U10:U45" si="8">IF(F10&gt;30,"Top savdo","Normal")</f>
        <v>Normal</v>
      </c>
      <c r="V10" s="4" t="str">
        <f t="shared" ref="V10:V45" si="9">IF(D10="Makaron","Tez sotiladi","Oddiy")</f>
        <v>Oddiy</v>
      </c>
      <c r="W10" s="4" t="str">
        <f>IF(OR(F10&gt;20,E10:E52&gt;50000),"Katta savdo")</f>
        <v xml:space="preserve">Katta savdo</v>
      </c>
      <c r="X10" s="4" t="str">
        <f>IF(NOT(D10="Guruch"),"Non-staple")</f>
        <v>Non-staple</v>
      </c>
      <c r="Y10" s="4" t="str">
        <f>_xlfn.XLOOKUP(B10,$B$3:$B$45,D$3:D$45)</f>
        <v>No'xat</v>
      </c>
      <c r="Z10" s="4" t="str">
        <f>_xlfn.XLOOKUP(B10,$B$3:$B$45,$D$3:$D$45,"Topilmadi")</f>
        <v>No'xat</v>
      </c>
      <c r="AA10" s="4" t="str">
        <f>IF(_xlfn.XLOOKUP(B10,$B$3:$B$45,$E$3:$E$45)&gt;50000,"Qimmat","Arzon")</f>
        <v>Arzon</v>
      </c>
    </row>
    <row r="11">
      <c r="A11" s="11" t="s">
        <v>61</v>
      </c>
      <c r="B11" s="12" t="s">
        <v>62</v>
      </c>
      <c r="C11" s="12" t="s">
        <v>45</v>
      </c>
      <c r="D11" s="12" t="s">
        <v>63</v>
      </c>
      <c r="E11" s="13">
        <v>45000</v>
      </c>
      <c r="F11" s="12">
        <v>40</v>
      </c>
      <c r="G11" s="14">
        <f t="shared" si="5"/>
        <v>1800000</v>
      </c>
      <c r="H11" s="15">
        <f t="shared" si="6"/>
        <v>36000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4" t="str">
        <f t="shared" si="7"/>
        <v xml:space="preserve">Katta savdo</v>
      </c>
      <c r="U11" s="4" t="str">
        <f t="shared" si="8"/>
        <v xml:space="preserve">Top savdo</v>
      </c>
      <c r="V11" s="4" t="str">
        <f t="shared" si="9"/>
        <v>Oddiy</v>
      </c>
      <c r="W11" s="4" t="str">
        <f>IF(OR(F11&gt;20,E11:E53&gt;50000),"Katta savdo")</f>
        <v xml:space="preserve">Katta savdo</v>
      </c>
      <c r="X11" s="4" t="str">
        <f>IF(NOT(D11="Guruch"),"Non-staple")</f>
        <v>Non-staple</v>
      </c>
      <c r="Y11" s="4" t="str">
        <f>_xlfn.XLOOKUP(B11,$B$3:$B$45,D$3:D$45)</f>
        <v>Pechenye</v>
      </c>
      <c r="Z11" s="4" t="str">
        <f>_xlfn.XLOOKUP(B11,$B$3:$B$45,$D$3:$D$45,"Topilmadi")</f>
        <v>Pechenye</v>
      </c>
      <c r="AA11" s="4" t="str">
        <f>IF(_xlfn.XLOOKUP(B11,$B$3:$B$45,$E$3:$E$45)&gt;50000,"Qimmat","Arzon")</f>
        <v>Arzon</v>
      </c>
    </row>
    <row r="12">
      <c r="A12" s="11" t="s">
        <v>64</v>
      </c>
      <c r="B12" s="12" t="s">
        <v>65</v>
      </c>
      <c r="C12" s="12" t="s">
        <v>52</v>
      </c>
      <c r="D12" s="12" t="s">
        <v>66</v>
      </c>
      <c r="E12" s="13">
        <v>22000</v>
      </c>
      <c r="F12" s="12">
        <v>16</v>
      </c>
      <c r="G12" s="14">
        <f t="shared" si="5"/>
        <v>352000</v>
      </c>
      <c r="H12" s="15">
        <f t="shared" si="6"/>
        <v>7040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4" t="str">
        <f t="shared" si="7"/>
        <v>Oddiy</v>
      </c>
      <c r="U12" s="4" t="str">
        <f t="shared" si="8"/>
        <v>Normal</v>
      </c>
      <c r="V12" s="4" t="str">
        <f t="shared" si="9"/>
        <v>Oddiy</v>
      </c>
      <c r="W12" s="4" t="b">
        <f>IF(OR(F12&gt;20,E12:E54&gt;50000),"Katta savdo")</f>
        <v>0</v>
      </c>
      <c r="X12" s="4" t="str">
        <f>IF(NOT(D12="Guruch"),"Non-staple")</f>
        <v>Non-staple</v>
      </c>
      <c r="Y12" s="4" t="str">
        <f>_xlfn.XLOOKUP(B12,$B$3:$B$45,D$3:D$45)</f>
        <v>Pista</v>
      </c>
      <c r="Z12" s="4" t="str">
        <f>_xlfn.XLOOKUP(B12,$B$3:$B$45,$D$3:$D$45,"Topilmadi")</f>
        <v>Pista</v>
      </c>
      <c r="AA12" s="4" t="str">
        <f>IF(_xlfn.XLOOKUP(B12,$B$3:$B$45,$E$3:$E$45)&gt;50000,"Qimmat","Arzon")</f>
        <v>Arzon</v>
      </c>
    </row>
    <row r="13">
      <c r="A13" s="11" t="s">
        <v>67</v>
      </c>
      <c r="B13" s="12" t="s">
        <v>68</v>
      </c>
      <c r="C13" s="12" t="s">
        <v>29</v>
      </c>
      <c r="D13" s="12" t="s">
        <v>69</v>
      </c>
      <c r="E13" s="13">
        <v>57000</v>
      </c>
      <c r="F13" s="12">
        <v>7</v>
      </c>
      <c r="G13" s="14">
        <f t="shared" si="5"/>
        <v>399000</v>
      </c>
      <c r="H13" s="15">
        <f t="shared" si="6"/>
        <v>7980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4" t="str">
        <f t="shared" si="7"/>
        <v>Oddiy</v>
      </c>
      <c r="U13" s="4" t="str">
        <f t="shared" si="8"/>
        <v>Normal</v>
      </c>
      <c r="V13" s="4" t="str">
        <f t="shared" si="9"/>
        <v>Oddiy</v>
      </c>
      <c r="W13" s="4" t="str">
        <f>IF(OR(F13&gt;20,E13:E55&gt;50000),"Katta savdo")</f>
        <v xml:space="preserve">Katta savdo</v>
      </c>
      <c r="X13" s="4" t="str">
        <f>IF(NOT(D13="Guruch"),"Non-staple")</f>
        <v>Non-staple</v>
      </c>
      <c r="Y13" s="4" t="str">
        <f>_xlfn.XLOOKUP(B13,$B$3:$B$45,D$3:D$45)</f>
        <v>Qahva</v>
      </c>
      <c r="Z13" s="4" t="str">
        <f>_xlfn.XLOOKUP(B13,$B$3:$B$45,$D$3:$D$45,"Topilmadi")</f>
        <v>Qahva</v>
      </c>
      <c r="AA13" s="4" t="str">
        <f>IF(_xlfn.XLOOKUP(B13,$B$3:$B$45,$E$3:$E$45)&gt;50000,"Qimmat","Arzon")</f>
        <v>Qimmat</v>
      </c>
    </row>
    <row r="14">
      <c r="A14" s="11" t="s">
        <v>70</v>
      </c>
      <c r="B14" s="12" t="s">
        <v>71</v>
      </c>
      <c r="C14" s="12" t="s">
        <v>33</v>
      </c>
      <c r="D14" s="12" t="s">
        <v>72</v>
      </c>
      <c r="E14" s="13">
        <v>28000</v>
      </c>
      <c r="F14" s="12">
        <v>12</v>
      </c>
      <c r="G14" s="14">
        <f t="shared" si="5"/>
        <v>336000</v>
      </c>
      <c r="H14" s="15">
        <f t="shared" si="6"/>
        <v>6720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4" t="str">
        <f t="shared" si="7"/>
        <v>Oddiy</v>
      </c>
      <c r="U14" s="4" t="str">
        <f t="shared" si="8"/>
        <v>Normal</v>
      </c>
      <c r="V14" s="4" t="str">
        <f t="shared" si="9"/>
        <v>Oddiy</v>
      </c>
      <c r="W14" s="4" t="b">
        <f>IF(OR(F14&gt;20,E14:E56&gt;50000),"Katta savdo")</f>
        <v>0</v>
      </c>
      <c r="X14" s="4" t="str">
        <f>IF(NOT(D14="Guruch"),"Non-staple")</f>
        <v>Non-staple</v>
      </c>
      <c r="Y14" s="4" t="str">
        <f>_xlfn.XLOOKUP(B14,$B$3:$B$45,D$3:D$45)</f>
        <v xml:space="preserve">Qovoq urug‘i</v>
      </c>
      <c r="Z14" s="4" t="str">
        <f>_xlfn.XLOOKUP(B14,$B$3:$B$45,$D$3:$D$45,"Topilmadi")</f>
        <v xml:space="preserve">Qovoq urug‘i</v>
      </c>
      <c r="AA14" s="4" t="str">
        <f>IF(_xlfn.XLOOKUP(B14,$B$3:$B$45,$E$3:$E$45)&gt;50000,"Qimmat","Arzon")</f>
        <v>Arzon</v>
      </c>
    </row>
    <row r="15">
      <c r="A15" s="11" t="s">
        <v>73</v>
      </c>
      <c r="B15" s="12" t="s">
        <v>74</v>
      </c>
      <c r="C15" s="12" t="s">
        <v>37</v>
      </c>
      <c r="D15" s="12" t="s">
        <v>75</v>
      </c>
      <c r="E15" s="13">
        <v>32000</v>
      </c>
      <c r="F15" s="12">
        <v>31</v>
      </c>
      <c r="G15" s="14">
        <f t="shared" si="5"/>
        <v>992000</v>
      </c>
      <c r="H15" s="15">
        <f t="shared" si="6"/>
        <v>19840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4" t="str">
        <f t="shared" si="7"/>
        <v xml:space="preserve">Katta savdo</v>
      </c>
      <c r="U15" s="4" t="str">
        <f t="shared" si="8"/>
        <v xml:space="preserve">Top savdo</v>
      </c>
      <c r="V15" s="4" t="str">
        <f t="shared" si="9"/>
        <v>Oddiy</v>
      </c>
      <c r="W15" s="4" t="str">
        <f>IF(OR(F15&gt;20,E15:E57&gt;50000),"Katta savdo")</f>
        <v xml:space="preserve">Katta savdo</v>
      </c>
      <c r="X15" s="4" t="str">
        <f>IF(NOT(D15="Guruch"),"Non-staple")</f>
        <v>Non-staple</v>
      </c>
      <c r="Y15" s="4" t="str">
        <f>_xlfn.XLOOKUP(B15,$B$3:$B$45,D$3:D$45)</f>
        <v>Shakar</v>
      </c>
      <c r="Z15" s="4" t="str">
        <f>_xlfn.XLOOKUP(B15,$B$3:$B$45,$D$3:$D$45,"Topilmadi")</f>
        <v>Shakar</v>
      </c>
      <c r="AA15" s="4" t="str">
        <f>IF(_xlfn.XLOOKUP(B15,$B$3:$B$45,$E$3:$E$45)&gt;50000,"Qimmat","Arzon")</f>
        <v>Arzon</v>
      </c>
    </row>
    <row r="16">
      <c r="A16" s="11" t="s">
        <v>76</v>
      </c>
      <c r="B16" s="12" t="s">
        <v>77</v>
      </c>
      <c r="C16" s="12" t="s">
        <v>41</v>
      </c>
      <c r="D16" s="12" t="s">
        <v>78</v>
      </c>
      <c r="E16" s="13">
        <v>71000</v>
      </c>
      <c r="F16" s="12">
        <v>25</v>
      </c>
      <c r="G16" s="14">
        <f t="shared" si="5"/>
        <v>1775000</v>
      </c>
      <c r="H16" s="15">
        <f t="shared" si="6"/>
        <v>35500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4" t="str">
        <f t="shared" si="7"/>
        <v xml:space="preserve">Katta savdo</v>
      </c>
      <c r="U16" s="4" t="str">
        <f t="shared" si="8"/>
        <v>Normal</v>
      </c>
      <c r="V16" s="4" t="str">
        <f t="shared" si="9"/>
        <v>Oddiy</v>
      </c>
      <c r="W16" s="4" t="str">
        <f>IF(OR(F16&gt;20,E16:E58&gt;50000),"Katta savdo")</f>
        <v xml:space="preserve">Katta savdo</v>
      </c>
      <c r="X16" s="4" t="str">
        <f>IF(NOT(D16="Guruch"),"Non-staple")</f>
        <v>Non-staple</v>
      </c>
      <c r="Y16" s="4" t="str">
        <f>_xlfn.XLOOKUP(B16,$B$3:$B$45,D$3:D$45)</f>
        <v xml:space="preserve">Shokolad batonchik</v>
      </c>
      <c r="Z16" s="4" t="str">
        <f>_xlfn.XLOOKUP(B16,$B$3:$B$45,$D$3:$D$45,"Topilmadi")</f>
        <v xml:space="preserve">Shokolad batonchik</v>
      </c>
      <c r="AA16" s="4" t="str">
        <f>IF(_xlfn.XLOOKUP(B16,$B$3:$B$45,$E$3:$E$45)&gt;50000,"Qimmat","Arzon")</f>
        <v>Qimmat</v>
      </c>
    </row>
    <row r="17">
      <c r="A17" s="11" t="s">
        <v>79</v>
      </c>
      <c r="B17" s="12" t="s">
        <v>80</v>
      </c>
      <c r="C17" s="12" t="s">
        <v>45</v>
      </c>
      <c r="D17" s="12" t="s">
        <v>81</v>
      </c>
      <c r="E17" s="13">
        <v>87000</v>
      </c>
      <c r="F17" s="12">
        <v>6</v>
      </c>
      <c r="G17" s="14">
        <f t="shared" si="5"/>
        <v>522000</v>
      </c>
      <c r="H17" s="15">
        <f t="shared" si="6"/>
        <v>10440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4" t="str">
        <f t="shared" si="7"/>
        <v>Oddiy</v>
      </c>
      <c r="U17" s="4" t="str">
        <f t="shared" si="8"/>
        <v>Normal</v>
      </c>
      <c r="V17" s="4" t="str">
        <f t="shared" si="9"/>
        <v>Oddiy</v>
      </c>
      <c r="W17" s="4" t="str">
        <f>IF(OR(F17&gt;20,E17:E59&gt;50000),"Katta savdo")</f>
        <v xml:space="preserve">Katta savdo</v>
      </c>
      <c r="X17" s="4" t="str">
        <f>IF(NOT(D17="Guruch"),"Non-staple")</f>
        <v>Non-staple</v>
      </c>
      <c r="Y17" s="4" t="str">
        <f>_xlfn.XLOOKUP(B17,$B$3:$B$45,D$3:D$45)</f>
        <v>Asal</v>
      </c>
      <c r="Z17" s="4" t="str">
        <f>_xlfn.XLOOKUP(B17,$B$3:$B$45,$D$3:$D$45,"Topilmadi")</f>
        <v>Asal</v>
      </c>
      <c r="AA17" s="4" t="str">
        <f>IF(_xlfn.XLOOKUP(B17,$B$3:$B$45,$E$3:$E$45)&gt;50000,"Qimmat","Arzon")</f>
        <v>Qimmat</v>
      </c>
    </row>
    <row r="18">
      <c r="A18" s="11" t="s">
        <v>82</v>
      </c>
      <c r="B18" s="12" t="s">
        <v>83</v>
      </c>
      <c r="C18" s="12" t="s">
        <v>52</v>
      </c>
      <c r="D18" s="12" t="s">
        <v>84</v>
      </c>
      <c r="E18" s="13">
        <v>24000</v>
      </c>
      <c r="F18" s="12">
        <v>24</v>
      </c>
      <c r="G18" s="14">
        <f t="shared" si="5"/>
        <v>576000</v>
      </c>
      <c r="H18" s="15">
        <f t="shared" si="6"/>
        <v>11520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4" t="str">
        <f t="shared" si="7"/>
        <v xml:space="preserve">Katta savdo</v>
      </c>
      <c r="U18" s="4" t="str">
        <f t="shared" si="8"/>
        <v>Normal</v>
      </c>
      <c r="V18" s="4" t="str">
        <f t="shared" si="9"/>
        <v>Oddiy</v>
      </c>
      <c r="W18" s="4" t="str">
        <f>IF(OR(F18&gt;20,E18:E60&gt;50000),"Katta savdo")</f>
        <v xml:space="preserve">Katta savdo</v>
      </c>
      <c r="X18" s="4" t="str">
        <f>IF(NOT(D18="Guruch"),"Non-staple")</f>
        <v>Non-staple</v>
      </c>
      <c r="Y18" s="4" t="str">
        <f>_xlfn.XLOOKUP(B18,$B$3:$B$45,D$3:D$45)</f>
        <v>Tuz</v>
      </c>
      <c r="Z18" s="4" t="str">
        <f>_xlfn.XLOOKUP(B18,$B$3:$B$45,$D$3:$D$45,"Topilmadi")</f>
        <v>Tuz</v>
      </c>
      <c r="AA18" s="4" t="str">
        <f>IF(_xlfn.XLOOKUP(B18,$B$3:$B$45,$E$3:$E$45)&gt;50000,"Qimmat","Arzon")</f>
        <v>Arzon</v>
      </c>
    </row>
    <row r="19">
      <c r="A19" s="11" t="s">
        <v>85</v>
      </c>
      <c r="B19" s="12" t="s">
        <v>86</v>
      </c>
      <c r="C19" s="12" t="s">
        <v>56</v>
      </c>
      <c r="D19" s="12" t="s">
        <v>87</v>
      </c>
      <c r="E19" s="13">
        <v>123000</v>
      </c>
      <c r="F19" s="12">
        <v>11</v>
      </c>
      <c r="G19" s="14">
        <f t="shared" si="5"/>
        <v>1353000</v>
      </c>
      <c r="H19" s="15">
        <f t="shared" si="6"/>
        <v>27060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4" t="str">
        <f t="shared" si="7"/>
        <v>Oddiy</v>
      </c>
      <c r="U19" s="4" t="str">
        <f t="shared" si="8"/>
        <v>Normal</v>
      </c>
      <c r="V19" s="4" t="str">
        <f t="shared" si="9"/>
        <v>Oddiy</v>
      </c>
      <c r="W19" s="4" t="str">
        <f>IF(OR(F19&gt;20,E19:E61&gt;50000),"Katta savdo")</f>
        <v xml:space="preserve">Katta savdo</v>
      </c>
      <c r="X19" s="4" t="str">
        <f>IF(NOT(D19="Guruch"),"Non-staple")</f>
        <v>Non-staple</v>
      </c>
      <c r="Y19" s="4" t="str">
        <f>_xlfn.XLOOKUP(B19,$B$3:$B$45,D$3:D$45)</f>
        <v xml:space="preserve">Yer yong‘oq</v>
      </c>
      <c r="Z19" s="4" t="str">
        <f>_xlfn.XLOOKUP(B19,$B$3:$B$45,$D$3:$D$45,"Topilmadi")</f>
        <v xml:space="preserve">Yer yong‘oq</v>
      </c>
      <c r="AA19" s="4" t="str">
        <f>IF(_xlfn.XLOOKUP(B19,$B$3:$B$45,$E$3:$E$45)&gt;50000,"Qimmat","Arzon")</f>
        <v>Qimmat</v>
      </c>
    </row>
    <row r="20">
      <c r="A20" s="11" t="s">
        <v>88</v>
      </c>
      <c r="B20" s="12" t="s">
        <v>89</v>
      </c>
      <c r="C20" s="12" t="s">
        <v>41</v>
      </c>
      <c r="D20" s="12" t="s">
        <v>53</v>
      </c>
      <c r="E20" s="13">
        <v>25000</v>
      </c>
      <c r="F20" s="12">
        <v>39</v>
      </c>
      <c r="G20" s="14">
        <f t="shared" si="5"/>
        <v>975000</v>
      </c>
      <c r="H20" s="15">
        <f t="shared" si="6"/>
        <v>19500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4" t="str">
        <f t="shared" si="7"/>
        <v xml:space="preserve">Katta savdo</v>
      </c>
      <c r="U20" s="4" t="str">
        <f t="shared" si="8"/>
        <v xml:space="preserve">Top savdo</v>
      </c>
      <c r="V20" s="4" t="str">
        <f t="shared" si="9"/>
        <v>Oddiy</v>
      </c>
      <c r="W20" s="4" t="str">
        <f>IF(OR(F20&gt;20,E20:E62&gt;50000),"Katta savdo")</f>
        <v xml:space="preserve">Katta savdo</v>
      </c>
      <c r="X20" s="4" t="str">
        <f>IF(NOT(D20="Guruch"),"Non-staple")</f>
        <v>Non-staple</v>
      </c>
      <c r="Y20" s="4" t="str">
        <f>_xlfn.XLOOKUP(B20,$B$3:$B$45,D$3:D$45)</f>
        <v xml:space="preserve">Kungaboqar urug‘i</v>
      </c>
      <c r="Z20" s="4" t="str">
        <f>_xlfn.XLOOKUP(B20,$B$3:$B$45,$D$3:$D$45,"Topilmadi")</f>
        <v xml:space="preserve">Kungaboqar urug‘i</v>
      </c>
      <c r="AA20" s="4" t="str">
        <f>IF(_xlfn.XLOOKUP(B20,$B$3:$B$45,$E$3:$E$45)&gt;50000,"Qimmat","Arzon")</f>
        <v>Arzon</v>
      </c>
    </row>
    <row r="21">
      <c r="A21" s="11" t="s">
        <v>90</v>
      </c>
      <c r="B21" s="12" t="s">
        <v>91</v>
      </c>
      <c r="C21" s="12" t="s">
        <v>45</v>
      </c>
      <c r="D21" s="12" t="s">
        <v>46</v>
      </c>
      <c r="E21" s="13">
        <v>75000</v>
      </c>
      <c r="F21" s="12">
        <v>22</v>
      </c>
      <c r="G21" s="14">
        <f t="shared" si="5"/>
        <v>1650000</v>
      </c>
      <c r="H21" s="15">
        <f t="shared" si="6"/>
        <v>33000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4" t="str">
        <f t="shared" si="7"/>
        <v xml:space="preserve">Katta savdo</v>
      </c>
      <c r="U21" s="4" t="str">
        <f t="shared" si="8"/>
        <v>Normal</v>
      </c>
      <c r="V21" s="4" t="str">
        <f t="shared" si="9"/>
        <v>Oddiy</v>
      </c>
      <c r="W21" s="4" t="str">
        <f>IF(OR(F21&gt;20,E21:E63&gt;50000),"Katta savdo")</f>
        <v xml:space="preserve">Katta savdo</v>
      </c>
      <c r="X21" s="4" t="str">
        <f>IF(NOT(D21="Guruch"),"Non-staple")</f>
        <v>Non-staple</v>
      </c>
      <c r="Y21" s="4" t="str">
        <f>_xlfn.XLOOKUP(B21,$B$3:$B$45,D$3:D$45)</f>
        <v>Konfet</v>
      </c>
      <c r="Z21" s="4" t="str">
        <f>_xlfn.XLOOKUP(B21,$B$3:$B$45,$D$3:$D$45,"Topilmadi")</f>
        <v>Konfet</v>
      </c>
      <c r="AA21" s="4" t="str">
        <f>IF(_xlfn.XLOOKUP(B21,$B$3:$B$45,$E$3:$E$45)&gt;50000,"Qimmat","Arzon")</f>
        <v>Qimmat</v>
      </c>
    </row>
    <row r="22">
      <c r="A22" s="11" t="s">
        <v>92</v>
      </c>
      <c r="B22" s="12" t="s">
        <v>93</v>
      </c>
      <c r="C22" s="12" t="s">
        <v>52</v>
      </c>
      <c r="D22" s="12" t="s">
        <v>42</v>
      </c>
      <c r="E22" s="13">
        <v>18000</v>
      </c>
      <c r="F22" s="12">
        <v>6</v>
      </c>
      <c r="G22" s="14">
        <f t="shared" si="5"/>
        <v>108000</v>
      </c>
      <c r="H22" s="15">
        <f t="shared" si="6"/>
        <v>2160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4" t="str">
        <f t="shared" si="7"/>
        <v>Oddiy</v>
      </c>
      <c r="U22" s="4" t="str">
        <f t="shared" si="8"/>
        <v>Normal</v>
      </c>
      <c r="V22" s="4" t="str">
        <f t="shared" si="9"/>
        <v>Oddiy</v>
      </c>
      <c r="W22" s="4" t="b">
        <f>IF(OR(F22&gt;20,E22:E64&gt;50000),"Katta savdo")</f>
        <v>0</v>
      </c>
      <c r="X22" s="4" t="b">
        <f>IF(NOT(D22="Guruch"),"Non-staple")</f>
        <v>0</v>
      </c>
      <c r="Y22" s="4" t="str">
        <f>_xlfn.XLOOKUP(B22,$B$3:$B$45,D$3:D$45)</f>
        <v>Guruch</v>
      </c>
      <c r="Z22" s="4" t="str">
        <f>_xlfn.XLOOKUP(B22,$B$3:$B$45,$D$3:$D$45,"Topilmadi")</f>
        <v>Guruch</v>
      </c>
      <c r="AA22" s="4" t="str">
        <f>IF(_xlfn.XLOOKUP(B22,$B$3:$B$45,$E$3:$E$45)&gt;50000,"Qimmat","Arzon")</f>
        <v>Arzon</v>
      </c>
    </row>
    <row r="23">
      <c r="A23" s="11" t="s">
        <v>94</v>
      </c>
      <c r="B23" s="12" t="s">
        <v>95</v>
      </c>
      <c r="C23" s="12" t="s">
        <v>29</v>
      </c>
      <c r="D23" s="12" t="s">
        <v>38</v>
      </c>
      <c r="E23" s="13">
        <v>12000</v>
      </c>
      <c r="F23" s="12">
        <v>11</v>
      </c>
      <c r="G23" s="14">
        <f t="shared" si="5"/>
        <v>132000</v>
      </c>
      <c r="H23" s="15">
        <f t="shared" si="6"/>
        <v>2640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4" t="str">
        <f t="shared" si="7"/>
        <v>Oddiy</v>
      </c>
      <c r="U23" s="4" t="str">
        <f t="shared" si="8"/>
        <v>Normal</v>
      </c>
      <c r="V23" s="4" t="str">
        <f t="shared" si="9"/>
        <v>Oddiy</v>
      </c>
      <c r="W23" s="4" t="b">
        <f>IF(OR(F23&gt;20,E23:E65&gt;50000),"Katta savdo")</f>
        <v>0</v>
      </c>
      <c r="X23" s="4" t="str">
        <f>IF(NOT(D23="Guruch"),"Non-staple")</f>
        <v>Non-staple</v>
      </c>
      <c r="Y23" s="4" t="str">
        <f>_xlfn.XLOOKUP(B23,$B$3:$B$45,D$3:D$45)</f>
        <v>Grechka</v>
      </c>
      <c r="Z23" s="4" t="str">
        <f>_xlfn.XLOOKUP(B23,$B$3:$B$45,$D$3:$D$45,"Topilmadi")</f>
        <v>Grechka</v>
      </c>
      <c r="AA23" s="4" t="str">
        <f>IF(_xlfn.XLOOKUP(B23,$B$3:$B$45,$E$3:$E$45)&gt;50000,"Qimmat","Arzon")</f>
        <v>Arzon</v>
      </c>
    </row>
    <row r="24">
      <c r="A24" s="11" t="s">
        <v>96</v>
      </c>
      <c r="B24" s="12" t="s">
        <v>97</v>
      </c>
      <c r="C24" s="12" t="s">
        <v>29</v>
      </c>
      <c r="D24" s="12" t="s">
        <v>34</v>
      </c>
      <c r="E24" s="13">
        <v>20000</v>
      </c>
      <c r="F24" s="12">
        <v>12</v>
      </c>
      <c r="G24" s="14">
        <f t="shared" si="5"/>
        <v>240000</v>
      </c>
      <c r="H24" s="15">
        <f t="shared" si="6"/>
        <v>4800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4" t="str">
        <f t="shared" si="7"/>
        <v>Oddiy</v>
      </c>
      <c r="U24" s="4" t="str">
        <f t="shared" si="8"/>
        <v>Normal</v>
      </c>
      <c r="V24" s="4" t="str">
        <f t="shared" si="9"/>
        <v>Oddiy</v>
      </c>
      <c r="W24" s="4" t="b">
        <f>IF(OR(F24&gt;20,E24:E66&gt;50000),"Katta savdo")</f>
        <v>0</v>
      </c>
      <c r="X24" s="4" t="str">
        <f>IF(NOT(D24="Guruch"),"Non-staple")</f>
        <v>Non-staple</v>
      </c>
      <c r="Y24" s="4" t="str">
        <f>_xlfn.XLOOKUP(B24,$B$3:$B$45,D$3:D$45)</f>
        <v>Choy</v>
      </c>
      <c r="Z24" s="4" t="str">
        <f>_xlfn.XLOOKUP(B24,$B$3:$B$45,$D$3:$D$45,"Topilmadi")</f>
        <v>Choy</v>
      </c>
      <c r="AA24" s="4" t="str">
        <f>IF(_xlfn.XLOOKUP(B24,$B$3:$B$45,$E$3:$E$45)&gt;50000,"Qimmat","Arzon")</f>
        <v>Arzon</v>
      </c>
    </row>
    <row r="25">
      <c r="A25" s="11" t="s">
        <v>98</v>
      </c>
      <c r="B25" s="12" t="s">
        <v>99</v>
      </c>
      <c r="C25" s="12" t="s">
        <v>33</v>
      </c>
      <c r="D25" s="12" t="s">
        <v>30</v>
      </c>
      <c r="E25" s="13">
        <v>15000</v>
      </c>
      <c r="F25" s="12">
        <v>19</v>
      </c>
      <c r="G25" s="14">
        <f t="shared" si="5"/>
        <v>285000</v>
      </c>
      <c r="H25" s="15">
        <f t="shared" si="6"/>
        <v>5700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4" t="str">
        <f t="shared" si="7"/>
        <v>Oddiy</v>
      </c>
      <c r="U25" s="4" t="str">
        <f t="shared" si="8"/>
        <v>Normal</v>
      </c>
      <c r="V25" s="4" t="str">
        <f t="shared" si="9"/>
        <v>Oddiy</v>
      </c>
      <c r="W25" s="4" t="b">
        <f>IF(OR(F25&gt;20,E25:E67&gt;50000),"Katta savdo")</f>
        <v>0</v>
      </c>
      <c r="X25" s="4" t="str">
        <f>IF(NOT(D25="Guruch"),"Non-staple")</f>
        <v>Non-staple</v>
      </c>
      <c r="Y25" s="4" t="str">
        <f>_xlfn.XLOOKUP(B25,$B$3:$B$45,D$3:D$45)</f>
        <v>Chips</v>
      </c>
      <c r="Z25" s="4" t="str">
        <f>_xlfn.XLOOKUP(B25,$B$3:$B$45,$D$3:$D$45,"Topilmadi")</f>
        <v>Chips</v>
      </c>
      <c r="AA25" s="4" t="str">
        <f>IF(_xlfn.XLOOKUP(B25,$B$3:$B$45,$E$3:$E$45)&gt;50000,"Qimmat","Arzon")</f>
        <v>Arzon</v>
      </c>
    </row>
    <row r="26">
      <c r="A26" s="11" t="s">
        <v>100</v>
      </c>
      <c r="B26" s="12" t="s">
        <v>101</v>
      </c>
      <c r="C26" s="12" t="s">
        <v>37</v>
      </c>
      <c r="D26" s="12" t="s">
        <v>53</v>
      </c>
      <c r="E26" s="13">
        <v>25000</v>
      </c>
      <c r="F26" s="12">
        <v>6</v>
      </c>
      <c r="G26" s="14">
        <f t="shared" si="5"/>
        <v>150000</v>
      </c>
      <c r="H26" s="15">
        <f t="shared" si="6"/>
        <v>3000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4" t="str">
        <f t="shared" si="7"/>
        <v>Oddiy</v>
      </c>
      <c r="U26" s="4" t="str">
        <f t="shared" si="8"/>
        <v>Normal</v>
      </c>
      <c r="V26" s="4" t="str">
        <f t="shared" si="9"/>
        <v>Oddiy</v>
      </c>
      <c r="W26" s="4" t="b">
        <f>IF(OR(F26&gt;20,E26:E68&gt;50000),"Katta savdo")</f>
        <v>0</v>
      </c>
      <c r="X26" s="4" t="str">
        <f>IF(NOT(D26="Guruch"),"Non-staple")</f>
        <v>Non-staple</v>
      </c>
      <c r="Y26" s="4" t="str">
        <f>_xlfn.XLOOKUP(B26,$B$3:$B$45,D$3:D$45)</f>
        <v xml:space="preserve">Kungaboqar urug‘i</v>
      </c>
      <c r="Z26" s="4" t="str">
        <f>_xlfn.XLOOKUP(B26,$B$3:$B$45,$D$3:$D$45,"Topilmadi")</f>
        <v xml:space="preserve">Kungaboqar urug‘i</v>
      </c>
      <c r="AA26" s="4" t="str">
        <f>IF(_xlfn.XLOOKUP(B26,$B$3:$B$45,$E$3:$E$45)&gt;50000,"Qimmat","Arzon")</f>
        <v>Arzon</v>
      </c>
    </row>
    <row r="27">
      <c r="A27" s="11" t="s">
        <v>102</v>
      </c>
      <c r="B27" s="12" t="s">
        <v>103</v>
      </c>
      <c r="C27" s="12" t="s">
        <v>41</v>
      </c>
      <c r="D27" s="12" t="s">
        <v>57</v>
      </c>
      <c r="E27" s="13">
        <v>23000</v>
      </c>
      <c r="F27" s="12">
        <v>26</v>
      </c>
      <c r="G27" s="14">
        <f t="shared" si="5"/>
        <v>598000</v>
      </c>
      <c r="H27" s="15">
        <f t="shared" si="6"/>
        <v>11960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4" t="str">
        <f t="shared" si="7"/>
        <v xml:space="preserve">Katta savdo</v>
      </c>
      <c r="U27" s="4" t="str">
        <f t="shared" si="8"/>
        <v>Normal</v>
      </c>
      <c r="V27" s="4" t="str">
        <f t="shared" si="9"/>
        <v xml:space="preserve">Tez sotiladi</v>
      </c>
      <c r="W27" s="4" t="str">
        <f>IF(OR(F27&gt;20,E27:E69&gt;50000),"Katta savdo")</f>
        <v xml:space="preserve">Katta savdo</v>
      </c>
      <c r="X27" s="4" t="str">
        <f>IF(NOT(D27="Guruch"),"Non-staple")</f>
        <v>Non-staple</v>
      </c>
      <c r="Y27" s="4" t="str">
        <f>_xlfn.XLOOKUP(B27,$B$3:$B$45,D$3:D$45)</f>
        <v>Makaron</v>
      </c>
      <c r="Z27" s="4" t="str">
        <f>_xlfn.XLOOKUP(B27,$B$3:$B$45,$D$3:$D$45,"Topilmadi")</f>
        <v>Makaron</v>
      </c>
      <c r="AA27" s="4" t="str">
        <f>IF(_xlfn.XLOOKUP(B27,$B$3:$B$45,$E$3:$E$45)&gt;50000,"Qimmat","Arzon")</f>
        <v>Arzon</v>
      </c>
    </row>
    <row r="28">
      <c r="A28" s="11" t="s">
        <v>104</v>
      </c>
      <c r="B28" s="12" t="s">
        <v>105</v>
      </c>
      <c r="C28" s="12" t="s">
        <v>45</v>
      </c>
      <c r="D28" s="12" t="s">
        <v>60</v>
      </c>
      <c r="E28" s="13">
        <v>50000</v>
      </c>
      <c r="F28" s="12">
        <v>1</v>
      </c>
      <c r="G28" s="14">
        <f t="shared" si="5"/>
        <v>50000</v>
      </c>
      <c r="H28" s="15">
        <f t="shared" si="6"/>
        <v>1000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4" t="str">
        <f t="shared" si="7"/>
        <v>Oddiy</v>
      </c>
      <c r="U28" s="4" t="str">
        <f t="shared" si="8"/>
        <v>Normal</v>
      </c>
      <c r="V28" s="4" t="str">
        <f t="shared" si="9"/>
        <v>Oddiy</v>
      </c>
      <c r="W28" s="4" t="b">
        <f>IF(OR(F28&gt;20,E28:E70&gt;50000),"Katta savdo")</f>
        <v>0</v>
      </c>
      <c r="X28" s="4" t="str">
        <f>IF(NOT(D28="Guruch"),"Non-staple")</f>
        <v>Non-staple</v>
      </c>
      <c r="Y28" s="4" t="str">
        <f>_xlfn.XLOOKUP(B28,$B$3:$B$45,D$3:D$45)</f>
        <v>No'xat</v>
      </c>
      <c r="Z28" s="4" t="str">
        <f>_xlfn.XLOOKUP(B28,$B$3:$B$45,$D$3:$D$45,"Topilmadi")</f>
        <v>No'xat</v>
      </c>
      <c r="AA28" s="4" t="str">
        <f>IF(_xlfn.XLOOKUP(B28,$B$3:$B$45,$E$3:$E$45)&gt;50000,"Qimmat","Arzon")</f>
        <v>Arzon</v>
      </c>
    </row>
    <row r="29">
      <c r="A29" s="11" t="s">
        <v>106</v>
      </c>
      <c r="B29" s="12" t="s">
        <v>99</v>
      </c>
      <c r="C29" s="12" t="s">
        <v>52</v>
      </c>
      <c r="D29" s="12" t="s">
        <v>57</v>
      </c>
      <c r="E29" s="13">
        <v>23000</v>
      </c>
      <c r="F29" s="12">
        <v>31</v>
      </c>
      <c r="G29" s="14">
        <f t="shared" si="5"/>
        <v>713000</v>
      </c>
      <c r="H29" s="15">
        <f t="shared" si="6"/>
        <v>14260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4" t="str">
        <f t="shared" si="7"/>
        <v xml:space="preserve">Katta savdo</v>
      </c>
      <c r="U29" s="4" t="str">
        <f t="shared" si="8"/>
        <v xml:space="preserve">Top savdo</v>
      </c>
      <c r="V29" s="4" t="str">
        <f t="shared" si="9"/>
        <v xml:space="preserve">Tez sotiladi</v>
      </c>
      <c r="W29" s="4" t="str">
        <f>IF(OR(F29&gt;20,E29:E71&gt;50000),"Katta savdo")</f>
        <v xml:space="preserve">Katta savdo</v>
      </c>
      <c r="X29" s="4" t="str">
        <f>IF(NOT(D29="Guruch"),"Non-staple")</f>
        <v>Non-staple</v>
      </c>
      <c r="Y29" s="4" t="str">
        <f>_xlfn.XLOOKUP(B29,$B$3:$B$45,D$3:D$45)</f>
        <v>Chips</v>
      </c>
      <c r="Z29" s="4" t="str">
        <f>_xlfn.XLOOKUP(B29,$B$3:$B$45,$D$3:$D$45,"Topilmadi")</f>
        <v>Chips</v>
      </c>
      <c r="AA29" s="4" t="str">
        <f>IF(_xlfn.XLOOKUP(B29,$B$3:$B$45,$E$3:$E$45)&gt;50000,"Qimmat","Arzon")</f>
        <v>Arzon</v>
      </c>
    </row>
    <row r="30">
      <c r="A30" s="11" t="s">
        <v>107</v>
      </c>
      <c r="B30" s="12" t="s">
        <v>108</v>
      </c>
      <c r="C30" s="12" t="s">
        <v>56</v>
      </c>
      <c r="D30" s="12" t="s">
        <v>60</v>
      </c>
      <c r="E30" s="13">
        <v>50000</v>
      </c>
      <c r="F30" s="12">
        <v>4</v>
      </c>
      <c r="G30" s="14">
        <f t="shared" si="5"/>
        <v>200000</v>
      </c>
      <c r="H30" s="15">
        <f t="shared" si="6"/>
        <v>4000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4" t="str">
        <f t="shared" si="7"/>
        <v>Oddiy</v>
      </c>
      <c r="U30" s="4" t="str">
        <f t="shared" si="8"/>
        <v>Normal</v>
      </c>
      <c r="V30" s="4" t="str">
        <f t="shared" si="9"/>
        <v>Oddiy</v>
      </c>
      <c r="W30" s="4" t="b">
        <f>IF(OR(F30&gt;20,E30:E72&gt;50000),"Katta savdo")</f>
        <v>0</v>
      </c>
      <c r="X30" s="4" t="str">
        <f>IF(NOT(D30="Guruch"),"Non-staple")</f>
        <v>Non-staple</v>
      </c>
      <c r="Y30" s="4" t="str">
        <f>_xlfn.XLOOKUP(B30,$B$3:$B$45,D$3:D$45)</f>
        <v>No'xat</v>
      </c>
      <c r="Z30" s="4" t="str">
        <f>_xlfn.XLOOKUP(B30,$B$3:$B$45,$D$3:$D$45,"Topilmadi")</f>
        <v>No'xat</v>
      </c>
      <c r="AA30" s="4" t="str">
        <f>IF(_xlfn.XLOOKUP(B30,$B$3:$B$45,$E$3:$E$45)&gt;50000,"Qimmat","Arzon")</f>
        <v>Arzon</v>
      </c>
    </row>
    <row r="31">
      <c r="A31" s="11" t="s">
        <v>109</v>
      </c>
      <c r="B31" s="12" t="s">
        <v>110</v>
      </c>
      <c r="C31" s="12" t="s">
        <v>41</v>
      </c>
      <c r="D31" s="12" t="s">
        <v>63</v>
      </c>
      <c r="E31" s="13">
        <v>45000</v>
      </c>
      <c r="F31" s="12">
        <v>27</v>
      </c>
      <c r="G31" s="14">
        <f t="shared" si="5"/>
        <v>1215000</v>
      </c>
      <c r="H31" s="15">
        <f t="shared" si="6"/>
        <v>24300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4" t="str">
        <f t="shared" si="7"/>
        <v xml:space="preserve">Katta savdo</v>
      </c>
      <c r="U31" s="4" t="str">
        <f t="shared" si="8"/>
        <v>Normal</v>
      </c>
      <c r="V31" s="4" t="str">
        <f t="shared" si="9"/>
        <v>Oddiy</v>
      </c>
      <c r="W31" s="4" t="str">
        <f>IF(OR(F31&gt;20,E31:E73&gt;50000),"Katta savdo")</f>
        <v xml:space="preserve">Katta savdo</v>
      </c>
      <c r="X31" s="4" t="str">
        <f>IF(NOT(D31="Guruch"),"Non-staple")</f>
        <v>Non-staple</v>
      </c>
      <c r="Y31" s="4" t="str">
        <f>_xlfn.XLOOKUP(B31,$B$3:$B$45,D$3:D$45)</f>
        <v>Pechenye</v>
      </c>
      <c r="Z31" s="4" t="str">
        <f>_xlfn.XLOOKUP(B31,$B$3:$B$45,$D$3:$D$45,"Topilmadi")</f>
        <v>Pechenye</v>
      </c>
      <c r="AA31" s="4" t="str">
        <f>IF(_xlfn.XLOOKUP(B31,$B$3:$B$45,$E$3:$E$45)&gt;50000,"Qimmat","Arzon")</f>
        <v>Arzon</v>
      </c>
    </row>
    <row r="32">
      <c r="A32" s="11" t="s">
        <v>111</v>
      </c>
      <c r="B32" s="12" t="s">
        <v>112</v>
      </c>
      <c r="C32" s="12" t="s">
        <v>45</v>
      </c>
      <c r="D32" s="12" t="s">
        <v>66</v>
      </c>
      <c r="E32" s="13">
        <v>22000</v>
      </c>
      <c r="F32" s="12">
        <v>3</v>
      </c>
      <c r="G32" s="14">
        <f t="shared" si="5"/>
        <v>66000</v>
      </c>
      <c r="H32" s="15">
        <f t="shared" si="6"/>
        <v>1320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4" t="str">
        <f t="shared" si="7"/>
        <v>Oddiy</v>
      </c>
      <c r="U32" s="4" t="str">
        <f t="shared" si="8"/>
        <v>Normal</v>
      </c>
      <c r="V32" s="4" t="str">
        <f t="shared" si="9"/>
        <v>Oddiy</v>
      </c>
      <c r="W32" s="4" t="b">
        <f>IF(OR(F32&gt;20,E32:E74&gt;50000),"Katta savdo")</f>
        <v>0</v>
      </c>
      <c r="X32" s="4" t="str">
        <f>IF(NOT(D32="Guruch"),"Non-staple")</f>
        <v>Non-staple</v>
      </c>
      <c r="Y32" s="4" t="str">
        <f>_xlfn.XLOOKUP(B32,$B$3:$B$45,D$3:D$45)</f>
        <v>Pista</v>
      </c>
      <c r="Z32" s="4" t="str">
        <f>_xlfn.XLOOKUP(B32,$B$3:$B$45,$D$3:$D$45,"Topilmadi")</f>
        <v>Pista</v>
      </c>
      <c r="AA32" s="4" t="str">
        <f>IF(_xlfn.XLOOKUP(B32,$B$3:$B$45,$E$3:$E$45)&gt;50000,"Qimmat","Arzon")</f>
        <v>Arzon</v>
      </c>
    </row>
    <row r="33">
      <c r="A33" s="11" t="s">
        <v>113</v>
      </c>
      <c r="B33" s="12" t="s">
        <v>114</v>
      </c>
      <c r="C33" s="12" t="s">
        <v>52</v>
      </c>
      <c r="D33" s="12" t="s">
        <v>69</v>
      </c>
      <c r="E33" s="13">
        <v>57000</v>
      </c>
      <c r="F33" s="12">
        <v>6</v>
      </c>
      <c r="G33" s="14">
        <f t="shared" si="5"/>
        <v>342000</v>
      </c>
      <c r="H33" s="15">
        <f t="shared" si="6"/>
        <v>6840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4" t="str">
        <f t="shared" si="7"/>
        <v>Oddiy</v>
      </c>
      <c r="U33" s="4" t="str">
        <f t="shared" si="8"/>
        <v>Normal</v>
      </c>
      <c r="V33" s="4" t="str">
        <f t="shared" si="9"/>
        <v>Oddiy</v>
      </c>
      <c r="W33" s="4" t="str">
        <f>IF(OR(F33&gt;20,E33:E75&gt;50000),"Katta savdo")</f>
        <v xml:space="preserve">Katta savdo</v>
      </c>
      <c r="X33" s="4" t="str">
        <f>IF(NOT(D33="Guruch"),"Non-staple")</f>
        <v>Non-staple</v>
      </c>
      <c r="Y33" s="4" t="str">
        <f>_xlfn.XLOOKUP(B33,$B$3:$B$45,D$3:D$45)</f>
        <v>Qahva</v>
      </c>
      <c r="Z33" s="4" t="str">
        <f>_xlfn.XLOOKUP(B33,$B$3:$B$45,$D$3:$D$45,"Topilmadi")</f>
        <v>Qahva</v>
      </c>
      <c r="AA33" s="4" t="str">
        <f>IF(_xlfn.XLOOKUP(B33,$B$3:$B$45,$E$3:$E$45)&gt;50000,"Qimmat","Arzon")</f>
        <v>Qimmat</v>
      </c>
    </row>
    <row r="34">
      <c r="A34" s="11" t="s">
        <v>115</v>
      </c>
      <c r="B34" s="12" t="s">
        <v>116</v>
      </c>
      <c r="C34" s="12" t="s">
        <v>29</v>
      </c>
      <c r="D34" s="12" t="s">
        <v>72</v>
      </c>
      <c r="E34" s="13">
        <v>28000</v>
      </c>
      <c r="F34" s="12">
        <v>2</v>
      </c>
      <c r="G34" s="14">
        <f t="shared" si="5"/>
        <v>56000</v>
      </c>
      <c r="H34" s="15">
        <f t="shared" si="6"/>
        <v>1120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4" t="str">
        <f t="shared" si="7"/>
        <v>Oddiy</v>
      </c>
      <c r="U34" s="4" t="str">
        <f t="shared" si="8"/>
        <v>Normal</v>
      </c>
      <c r="V34" s="4" t="str">
        <f t="shared" si="9"/>
        <v>Oddiy</v>
      </c>
      <c r="W34" s="4" t="b">
        <f>IF(OR(F34&gt;20,E34:E76&gt;50000),"Katta savdo")</f>
        <v>0</v>
      </c>
      <c r="X34" s="4" t="str">
        <f>IF(NOT(D34="Guruch"),"Non-staple")</f>
        <v>Non-staple</v>
      </c>
      <c r="Y34" s="4" t="str">
        <f>_xlfn.XLOOKUP(B34,$B$3:$B$45,D$3:D$45)</f>
        <v xml:space="preserve">Qovoq urug‘i</v>
      </c>
      <c r="Z34" s="4" t="str">
        <f>_xlfn.XLOOKUP(B34,$B$3:$B$45,$D$3:$D$45,"Topilmadi")</f>
        <v xml:space="preserve">Qovoq urug‘i</v>
      </c>
      <c r="AA34" s="4" t="str">
        <f>IF(_xlfn.XLOOKUP(B34,$B$3:$B$45,$E$3:$E$45)&gt;50000,"Qimmat","Arzon")</f>
        <v>Arzon</v>
      </c>
    </row>
    <row r="35">
      <c r="A35" s="11" t="s">
        <v>117</v>
      </c>
      <c r="B35" s="12" t="s">
        <v>118</v>
      </c>
      <c r="C35" s="12" t="s">
        <v>33</v>
      </c>
      <c r="D35" s="12" t="s">
        <v>75</v>
      </c>
      <c r="E35" s="13">
        <v>32000</v>
      </c>
      <c r="F35" s="12">
        <v>8</v>
      </c>
      <c r="G35" s="14">
        <f t="shared" si="5"/>
        <v>256000</v>
      </c>
      <c r="H35" s="15">
        <f t="shared" si="6"/>
        <v>5120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4" t="str">
        <f t="shared" si="7"/>
        <v>Oddiy</v>
      </c>
      <c r="U35" s="4" t="str">
        <f t="shared" si="8"/>
        <v>Normal</v>
      </c>
      <c r="V35" s="4" t="str">
        <f t="shared" si="9"/>
        <v>Oddiy</v>
      </c>
      <c r="W35" s="4" t="b">
        <f>IF(OR(F35&gt;20,E35:E77&gt;50000),"Katta savdo")</f>
        <v>0</v>
      </c>
      <c r="X35" s="4" t="str">
        <f>IF(NOT(D35="Guruch"),"Non-staple")</f>
        <v>Non-staple</v>
      </c>
      <c r="Y35" s="4" t="str">
        <f>_xlfn.XLOOKUP(B35,$B$3:$B$45,D$3:D$45)</f>
        <v>Shakar</v>
      </c>
      <c r="Z35" s="4" t="str">
        <f>_xlfn.XLOOKUP(B35,$B$3:$B$45,$D$3:$D$45,"Topilmadi")</f>
        <v>Shakar</v>
      </c>
      <c r="AA35" s="4" t="str">
        <f>IF(_xlfn.XLOOKUP(B35,$B$3:$B$45,$E$3:$E$45)&gt;50000,"Qimmat","Arzon")</f>
        <v>Arzon</v>
      </c>
    </row>
    <row r="36">
      <c r="A36" s="11" t="s">
        <v>119</v>
      </c>
      <c r="B36" s="12" t="s">
        <v>120</v>
      </c>
      <c r="C36" s="12" t="s">
        <v>37</v>
      </c>
      <c r="D36" s="12" t="s">
        <v>78</v>
      </c>
      <c r="E36" s="13">
        <v>71000</v>
      </c>
      <c r="F36" s="12">
        <v>4</v>
      </c>
      <c r="G36" s="14">
        <f t="shared" si="5"/>
        <v>284000</v>
      </c>
      <c r="H36" s="15">
        <f t="shared" si="6"/>
        <v>5680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4" t="str">
        <f t="shared" si="7"/>
        <v>Oddiy</v>
      </c>
      <c r="U36" s="4" t="str">
        <f t="shared" si="8"/>
        <v>Normal</v>
      </c>
      <c r="V36" s="4" t="str">
        <f t="shared" si="9"/>
        <v>Oddiy</v>
      </c>
      <c r="W36" s="4" t="str">
        <f>IF(OR(F36&gt;20,E36:E78&gt;50000),"Katta savdo")</f>
        <v xml:space="preserve">Katta savdo</v>
      </c>
      <c r="X36" s="4" t="str">
        <f>IF(NOT(D36="Guruch"),"Non-staple")</f>
        <v>Non-staple</v>
      </c>
      <c r="Y36" s="4" t="str">
        <f>_xlfn.XLOOKUP(B36,$B$3:$B$45,D$3:D$45)</f>
        <v xml:space="preserve">Shokolad batonchik</v>
      </c>
      <c r="Z36" s="4" t="str">
        <f>_xlfn.XLOOKUP(B36,$B$3:$B$45,$D$3:$D$45,"Topilmadi")</f>
        <v xml:space="preserve">Shokolad batonchik</v>
      </c>
      <c r="AA36" s="4" t="str">
        <f>IF(_xlfn.XLOOKUP(B36,$B$3:$B$45,$E$3:$E$45)&gt;50000,"Qimmat","Arzon")</f>
        <v>Qimmat</v>
      </c>
    </row>
    <row r="37">
      <c r="A37" s="11" t="s">
        <v>121</v>
      </c>
      <c r="B37" s="12" t="s">
        <v>122</v>
      </c>
      <c r="C37" s="12" t="s">
        <v>41</v>
      </c>
      <c r="D37" s="12" t="s">
        <v>81</v>
      </c>
      <c r="E37" s="13">
        <v>87000</v>
      </c>
      <c r="F37" s="12">
        <v>13</v>
      </c>
      <c r="G37" s="14">
        <f t="shared" si="5"/>
        <v>1131000</v>
      </c>
      <c r="H37" s="15">
        <f t="shared" si="6"/>
        <v>22620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4" t="str">
        <f t="shared" si="7"/>
        <v>Oddiy</v>
      </c>
      <c r="U37" s="4" t="str">
        <f t="shared" si="8"/>
        <v>Normal</v>
      </c>
      <c r="V37" s="4" t="str">
        <f t="shared" si="9"/>
        <v>Oddiy</v>
      </c>
      <c r="W37" s="4" t="str">
        <f>IF(OR(F37&gt;20,E37:E79&gt;50000),"Katta savdo")</f>
        <v xml:space="preserve">Katta savdo</v>
      </c>
      <c r="X37" s="4" t="str">
        <f>IF(NOT(D37="Guruch"),"Non-staple")</f>
        <v>Non-staple</v>
      </c>
      <c r="Y37" s="4" t="str">
        <f>_xlfn.XLOOKUP(B37,$B$3:$B$45,D$3:D$45)</f>
        <v>Asal</v>
      </c>
      <c r="Z37" s="4" t="str">
        <f>_xlfn.XLOOKUP(B37,$B$3:$B$45,$D$3:$D$45,"Topilmadi")</f>
        <v>Asal</v>
      </c>
      <c r="AA37" s="4" t="str">
        <f>IF(_xlfn.XLOOKUP(B37,$B$3:$B$45,$E$3:$E$45)&gt;50000,"Qimmat","Arzon")</f>
        <v>Qimmat</v>
      </c>
    </row>
    <row r="38">
      <c r="A38" s="11" t="s">
        <v>123</v>
      </c>
      <c r="B38" s="12" t="s">
        <v>62</v>
      </c>
      <c r="C38" s="12" t="s">
        <v>45</v>
      </c>
      <c r="D38" s="12" t="s">
        <v>84</v>
      </c>
      <c r="E38" s="13">
        <v>24000</v>
      </c>
      <c r="F38" s="12">
        <v>9</v>
      </c>
      <c r="G38" s="14">
        <f t="shared" si="5"/>
        <v>216000</v>
      </c>
      <c r="H38" s="15">
        <f t="shared" si="6"/>
        <v>4320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4" t="str">
        <f t="shared" si="7"/>
        <v>Oddiy</v>
      </c>
      <c r="U38" s="4" t="str">
        <f t="shared" si="8"/>
        <v>Normal</v>
      </c>
      <c r="V38" s="4" t="str">
        <f t="shared" si="9"/>
        <v>Oddiy</v>
      </c>
      <c r="W38" s="4" t="b">
        <f>IF(OR(F38&gt;20,E38:E80&gt;50000),"Katta savdo")</f>
        <v>0</v>
      </c>
      <c r="X38" s="4" t="str">
        <f>IF(NOT(D38="Guruch"),"Non-staple")</f>
        <v>Non-staple</v>
      </c>
      <c r="Y38" s="4" t="str">
        <f>_xlfn.XLOOKUP(B38,$B$3:$B$45,D$3:D$45)</f>
        <v>Pechenye</v>
      </c>
      <c r="Z38" s="4" t="str">
        <f>_xlfn.XLOOKUP(B38,$B$3:$B$45,$D$3:$D$45,"Topilmadi")</f>
        <v>Pechenye</v>
      </c>
      <c r="AA38" s="4" t="str">
        <f>IF(_xlfn.XLOOKUP(B38,$B$3:$B$45,$E$3:$E$45)&gt;50000,"Qimmat","Arzon")</f>
        <v>Arzon</v>
      </c>
    </row>
    <row r="39">
      <c r="A39" s="11" t="s">
        <v>124</v>
      </c>
      <c r="B39" s="12" t="s">
        <v>125</v>
      </c>
      <c r="C39" s="12" t="s">
        <v>52</v>
      </c>
      <c r="D39" s="12" t="s">
        <v>87</v>
      </c>
      <c r="E39" s="13">
        <v>123000</v>
      </c>
      <c r="F39" s="12">
        <v>36</v>
      </c>
      <c r="G39" s="14">
        <f t="shared" si="5"/>
        <v>4428000</v>
      </c>
      <c r="H39" s="15">
        <f t="shared" si="6"/>
        <v>88560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4" t="str">
        <f t="shared" si="7"/>
        <v xml:space="preserve">Katta savdo</v>
      </c>
      <c r="U39" s="4" t="str">
        <f t="shared" si="8"/>
        <v xml:space="preserve">Top savdo</v>
      </c>
      <c r="V39" s="4" t="str">
        <f t="shared" si="9"/>
        <v>Oddiy</v>
      </c>
      <c r="W39" s="4" t="str">
        <f>IF(OR(F39&gt;20,E39:E81&gt;50000),"Katta savdo")</f>
        <v xml:space="preserve">Katta savdo</v>
      </c>
      <c r="X39" s="4" t="str">
        <f>IF(NOT(D39="Guruch"),"Non-staple")</f>
        <v>Non-staple</v>
      </c>
      <c r="Y39" s="4" t="str">
        <f>_xlfn.XLOOKUP(B39,$B$3:$B$45,D$3:D$45)</f>
        <v xml:space="preserve">Yer yong‘oq</v>
      </c>
      <c r="Z39" s="4" t="str">
        <f>_xlfn.XLOOKUP(B39,$B$3:$B$45,$D$3:$D$45,"Topilmadi")</f>
        <v xml:space="preserve">Yer yong‘oq</v>
      </c>
      <c r="AA39" s="4" t="str">
        <f>IF(_xlfn.XLOOKUP(B39,$B$3:$B$45,$E$3:$E$45)&gt;50000,"Qimmat","Arzon")</f>
        <v>Qimmat</v>
      </c>
    </row>
    <row r="40">
      <c r="A40" s="11" t="s">
        <v>126</v>
      </c>
      <c r="B40" s="12" t="s">
        <v>127</v>
      </c>
      <c r="C40" s="12" t="s">
        <v>52</v>
      </c>
      <c r="D40" s="12" t="s">
        <v>53</v>
      </c>
      <c r="E40" s="13">
        <v>25000</v>
      </c>
      <c r="F40" s="12">
        <v>8</v>
      </c>
      <c r="G40" s="14">
        <f t="shared" si="5"/>
        <v>200000</v>
      </c>
      <c r="H40" s="15">
        <f t="shared" si="6"/>
        <v>4000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4" t="str">
        <f t="shared" si="7"/>
        <v>Oddiy</v>
      </c>
      <c r="U40" s="4" t="str">
        <f t="shared" si="8"/>
        <v>Normal</v>
      </c>
      <c r="V40" s="4" t="str">
        <f t="shared" si="9"/>
        <v>Oddiy</v>
      </c>
      <c r="W40" s="4" t="b">
        <f>IF(OR(F40&gt;20,E40:E82&gt;50000),"Katta savdo")</f>
        <v>0</v>
      </c>
      <c r="X40" s="4" t="str">
        <f>IF(NOT(D40="Guruch"),"Non-staple")</f>
        <v>Non-staple</v>
      </c>
      <c r="Y40" s="4" t="str">
        <f>_xlfn.XLOOKUP(B40,$B$3:$B$45,D$3:D$45)</f>
        <v xml:space="preserve">Kungaboqar urug‘i</v>
      </c>
      <c r="Z40" s="4" t="str">
        <f>_xlfn.XLOOKUP(B40,$B$3:$B$45,$D$3:$D$45,"Topilmadi")</f>
        <v xml:space="preserve">Kungaboqar urug‘i</v>
      </c>
      <c r="AA40" s="4" t="str">
        <f>IF(_xlfn.XLOOKUP(B40,$B$3:$B$45,$E$3:$E$45)&gt;50000,"Qimmat","Arzon")</f>
        <v>Arzon</v>
      </c>
    </row>
    <row r="41">
      <c r="A41" s="11" t="s">
        <v>128</v>
      </c>
      <c r="B41" s="12" t="s">
        <v>129</v>
      </c>
      <c r="C41" s="12" t="s">
        <v>29</v>
      </c>
      <c r="D41" s="12" t="s">
        <v>46</v>
      </c>
      <c r="E41" s="13">
        <v>75000</v>
      </c>
      <c r="F41" s="12">
        <v>15</v>
      </c>
      <c r="G41" s="14">
        <f t="shared" si="5"/>
        <v>1125000</v>
      </c>
      <c r="H41" s="15">
        <f t="shared" si="6"/>
        <v>22500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4" t="str">
        <f t="shared" si="7"/>
        <v>Oddiy</v>
      </c>
      <c r="U41" s="4" t="str">
        <f t="shared" si="8"/>
        <v>Normal</v>
      </c>
      <c r="V41" s="4" t="str">
        <f t="shared" si="9"/>
        <v>Oddiy</v>
      </c>
      <c r="W41" s="4" t="str">
        <f>IF(OR(F41&gt;20,E41:E83&gt;50000),"Katta savdo")</f>
        <v xml:space="preserve">Katta savdo</v>
      </c>
      <c r="X41" s="4" t="str">
        <f>IF(NOT(D41="Guruch"),"Non-staple")</f>
        <v>Non-staple</v>
      </c>
      <c r="Y41" s="4" t="str">
        <f>_xlfn.XLOOKUP(B41,$B$3:$B$45,D$3:D$45)</f>
        <v>Konfet</v>
      </c>
      <c r="Z41" s="4" t="str">
        <f>_xlfn.XLOOKUP(B41,$B$3:$B$45,$D$3:$D$45,"Topilmadi")</f>
        <v>Konfet</v>
      </c>
      <c r="AA41" s="4" t="str">
        <f>IF(_xlfn.XLOOKUP(B41,$B$3:$B$45,$E$3:$E$45)&gt;50000,"Qimmat","Arzon")</f>
        <v>Qimmat</v>
      </c>
    </row>
    <row r="42">
      <c r="A42" s="11" t="s">
        <v>130</v>
      </c>
      <c r="B42" s="12" t="s">
        <v>131</v>
      </c>
      <c r="C42" s="12" t="s">
        <v>33</v>
      </c>
      <c r="D42" s="12" t="s">
        <v>63</v>
      </c>
      <c r="E42" s="13">
        <v>45000</v>
      </c>
      <c r="F42" s="12">
        <v>28</v>
      </c>
      <c r="G42" s="14">
        <f t="shared" si="5"/>
        <v>1260000</v>
      </c>
      <c r="H42" s="15">
        <f t="shared" si="6"/>
        <v>25200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4" t="str">
        <f t="shared" si="7"/>
        <v xml:space="preserve">Katta savdo</v>
      </c>
      <c r="U42" s="4" t="str">
        <f t="shared" si="8"/>
        <v>Normal</v>
      </c>
      <c r="V42" s="4" t="str">
        <f t="shared" si="9"/>
        <v>Oddiy</v>
      </c>
      <c r="W42" s="4" t="str">
        <f>IF(OR(F42&gt;20,E42:E84&gt;50000),"Katta savdo")</f>
        <v xml:space="preserve">Katta savdo</v>
      </c>
      <c r="X42" s="4" t="str">
        <f>IF(NOT(D42="Guruch"),"Non-staple")</f>
        <v>Non-staple</v>
      </c>
      <c r="Y42" s="4" t="str">
        <f>_xlfn.XLOOKUP(B42,$B$3:$B$45,D$3:D$45)</f>
        <v>Pechenye</v>
      </c>
      <c r="Z42" s="4" t="str">
        <f>_xlfn.XLOOKUP(B42,$B$3:$B$45,$D$3:$D$45,"Topilmadi")</f>
        <v>Pechenye</v>
      </c>
      <c r="AA42" s="4" t="str">
        <f>IF(_xlfn.XLOOKUP(B42,$B$3:$B$45,$E$3:$E$45)&gt;50000,"Qimmat","Arzon")</f>
        <v>Arzon</v>
      </c>
    </row>
    <row r="43">
      <c r="A43" s="11" t="s">
        <v>132</v>
      </c>
      <c r="B43" s="12" t="s">
        <v>133</v>
      </c>
      <c r="C43" s="12" t="s">
        <v>37</v>
      </c>
      <c r="D43" s="12" t="s">
        <v>66</v>
      </c>
      <c r="E43" s="13">
        <v>22000</v>
      </c>
      <c r="F43" s="12">
        <v>12</v>
      </c>
      <c r="G43" s="14">
        <f t="shared" si="5"/>
        <v>264000</v>
      </c>
      <c r="H43" s="15">
        <f t="shared" si="6"/>
        <v>5280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4" t="str">
        <f t="shared" si="7"/>
        <v>Oddiy</v>
      </c>
      <c r="U43" s="4" t="str">
        <f t="shared" si="8"/>
        <v>Normal</v>
      </c>
      <c r="V43" s="4" t="str">
        <f t="shared" si="9"/>
        <v>Oddiy</v>
      </c>
      <c r="W43" s="4" t="b">
        <f>IF(OR(F43&gt;20,E43:E85&gt;50000),"Katta savdo")</f>
        <v>0</v>
      </c>
      <c r="X43" s="4" t="str">
        <f>IF(NOT(D43="Guruch"),"Non-staple")</f>
        <v>Non-staple</v>
      </c>
      <c r="Y43" s="4" t="str">
        <f>_xlfn.XLOOKUP(B43,$B$3:$B$45,D$3:D$45)</f>
        <v>Pista</v>
      </c>
      <c r="Z43" s="4" t="str">
        <f>_xlfn.XLOOKUP(B43,$B$3:$B$45,$D$3:$D$45,"Topilmadi")</f>
        <v>Pista</v>
      </c>
      <c r="AA43" s="4" t="str">
        <f>IF(_xlfn.XLOOKUP(B43,$B$3:$B$45,$E$3:$E$45)&gt;50000,"Qimmat","Arzon")</f>
        <v>Arzon</v>
      </c>
    </row>
    <row r="44">
      <c r="A44" s="17" t="s">
        <v>134</v>
      </c>
      <c r="B44" s="18" t="s">
        <v>135</v>
      </c>
      <c r="C44" s="12" t="s">
        <v>33</v>
      </c>
      <c r="D44" s="12" t="s">
        <v>69</v>
      </c>
      <c r="E44" s="13">
        <v>57000</v>
      </c>
      <c r="F44" s="12">
        <v>2</v>
      </c>
      <c r="G44" s="14">
        <f t="shared" si="5"/>
        <v>114000</v>
      </c>
      <c r="H44" s="15">
        <f t="shared" si="6"/>
        <v>2280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4" t="str">
        <f t="shared" si="7"/>
        <v>Oddiy</v>
      </c>
      <c r="U44" s="4" t="str">
        <f t="shared" si="8"/>
        <v>Normal</v>
      </c>
      <c r="V44" s="4" t="str">
        <f t="shared" si="9"/>
        <v>Oddiy</v>
      </c>
      <c r="W44" s="4" t="str">
        <f>IF(OR(F44&gt;20,E44:E86&gt;50000),"Katta savdo")</f>
        <v xml:space="preserve">Katta savdo</v>
      </c>
      <c r="X44" s="4" t="str">
        <f>IF(NOT(D44="Guruch"),"Non-staple")</f>
        <v>Non-staple</v>
      </c>
      <c r="Y44" s="4" t="str">
        <f>_xlfn.XLOOKUP(B44,$B$3:$B$45,D$3:D$45)</f>
        <v>Qahva</v>
      </c>
      <c r="Z44" s="4" t="str">
        <f>_xlfn.XLOOKUP(B44,$B$3:$B$45,$D$3:$D$45,"Topilmadi")</f>
        <v>Qahva</v>
      </c>
      <c r="AA44" s="4" t="str">
        <f>IF(_xlfn.XLOOKUP(B44,$B$3:$B$45,$E$3:$E$45)&gt;50000,"Qimmat","Arzon")</f>
        <v>Qimmat</v>
      </c>
    </row>
    <row r="45" ht="15">
      <c r="A45" s="19" t="s">
        <v>136</v>
      </c>
      <c r="B45" s="20" t="s">
        <v>137</v>
      </c>
      <c r="C45" s="21" t="s">
        <v>37</v>
      </c>
      <c r="D45" s="20" t="s">
        <v>72</v>
      </c>
      <c r="E45" s="22">
        <v>28000</v>
      </c>
      <c r="F45" s="20">
        <v>10</v>
      </c>
      <c r="G45" s="14">
        <f t="shared" si="5"/>
        <v>280000</v>
      </c>
      <c r="H45" s="15">
        <f t="shared" si="6"/>
        <v>5600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4" t="str">
        <f t="shared" si="7"/>
        <v>Oddiy</v>
      </c>
      <c r="U45" s="4" t="str">
        <f t="shared" si="8"/>
        <v>Normal</v>
      </c>
      <c r="V45" s="4" t="str">
        <f t="shared" si="9"/>
        <v>Oddiy</v>
      </c>
      <c r="W45" s="4" t="b">
        <f>IF(OR(F45&gt;20,E45:E87&gt;50000),"Katta savdo")</f>
        <v>0</v>
      </c>
      <c r="X45" s="4" t="str">
        <f>IF(NOT(D45="Guruch"),"Non-staple")</f>
        <v>Non-staple</v>
      </c>
      <c r="Y45" s="4" t="str">
        <f>_xlfn.XLOOKUP(B45,$B$3:$B$45,D$3:D$45)</f>
        <v xml:space="preserve">Qovoq urug‘i</v>
      </c>
      <c r="Z45" s="4" t="str">
        <f>_xlfn.XLOOKUP(B45,$B$3:$B$45,$D$3:$D$45,"Topilmadi")</f>
        <v xml:space="preserve">Qovoq urug‘i</v>
      </c>
      <c r="AA45" s="4" t="str">
        <f>IF(_xlfn.XLOOKUP(B45,$B$3:$B$45,$E$3:$E$45)&gt;50000,"Qimmat","Arzon")</f>
        <v>Arzon</v>
      </c>
    </row>
  </sheetData>
  <mergeCells count="9">
    <mergeCell ref="A1:H1"/>
    <mergeCell ref="T1:T2"/>
    <mergeCell ref="U1:U2"/>
    <mergeCell ref="V1:V2"/>
    <mergeCell ref="W1:W2"/>
    <mergeCell ref="X1:X2"/>
    <mergeCell ref="Y1:Y2"/>
    <mergeCell ref="Z1:Z2"/>
    <mergeCell ref="AA1:AA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A1" activeCellId="0" sqref="A1:A25"/>
    </sheetView>
  </sheetViews>
  <sheetFormatPr defaultRowHeight="14.25"/>
  <cols>
    <col bestFit="1" customWidth="1" min="1" max="1" width="75.47265625"/>
  </cols>
  <sheetData>
    <row r="1">
      <c r="A1" s="23" t="s">
        <v>138</v>
      </c>
    </row>
    <row r="2">
      <c r="A2" s="23" t="s">
        <v>139</v>
      </c>
    </row>
    <row r="3">
      <c r="A3" s="23" t="s">
        <v>140</v>
      </c>
    </row>
    <row r="4">
      <c r="A4" s="24" t="s">
        <v>141</v>
      </c>
    </row>
    <row r="5">
      <c r="A5" s="24" t="s">
        <v>142</v>
      </c>
    </row>
    <row r="6">
      <c r="A6" s="24" t="s">
        <v>143</v>
      </c>
    </row>
    <row r="7">
      <c r="A7" s="24" t="s">
        <v>144</v>
      </c>
    </row>
    <row r="8">
      <c r="A8" s="24" t="s">
        <v>145</v>
      </c>
    </row>
    <row r="9">
      <c r="A9" s="24" t="s">
        <v>146</v>
      </c>
    </row>
    <row r="10">
      <c r="A10" s="24" t="s">
        <v>147</v>
      </c>
    </row>
    <row r="11">
      <c r="A11" s="24" t="s">
        <v>148</v>
      </c>
    </row>
    <row r="12">
      <c r="A12" s="24" t="s">
        <v>149</v>
      </c>
    </row>
    <row r="13">
      <c r="A13" s="24" t="s">
        <v>150</v>
      </c>
    </row>
    <row r="14">
      <c r="A14" s="24" t="s">
        <v>151</v>
      </c>
    </row>
    <row r="15">
      <c r="A15" s="24" t="s">
        <v>152</v>
      </c>
    </row>
    <row r="16">
      <c r="A16" s="24" t="s">
        <v>153</v>
      </c>
    </row>
    <row r="17">
      <c r="A17" s="24" t="s">
        <v>154</v>
      </c>
    </row>
    <row r="18">
      <c r="A18" s="24" t="s">
        <v>155</v>
      </c>
    </row>
    <row r="19">
      <c r="A19" s="24" t="s">
        <v>156</v>
      </c>
    </row>
    <row r="20">
      <c r="A20" s="23" t="s">
        <v>157</v>
      </c>
    </row>
    <row r="21">
      <c r="A21" s="24" t="s">
        <v>158</v>
      </c>
    </row>
    <row r="22">
      <c r="A22" s="24" t="s">
        <v>159</v>
      </c>
    </row>
    <row r="23">
      <c r="A23" s="23" t="s">
        <v>160</v>
      </c>
    </row>
    <row r="24">
      <c r="A24" s="23" t="s">
        <v>161</v>
      </c>
    </row>
    <row r="25">
      <c r="A25" s="23" t="s">
        <v>162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2023.08.31</dc:creator>
  <cp:revision>3</cp:revision>
  <dcterms:created xsi:type="dcterms:W3CDTF">2026-04-14T04:03:25Z</dcterms:created>
  <dcterms:modified xsi:type="dcterms:W3CDTF">2026-04-14T04:59:18Z</dcterms:modified>
</cp:coreProperties>
</file>