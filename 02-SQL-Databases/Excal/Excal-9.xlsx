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 activeTab="1"/>
  </bookViews>
  <sheets>
    <sheet name="Лист1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<sst xmlns="http://schemas.openxmlformats.org/spreadsheetml/2006/main" count="320" uniqueCount="149">
  <si>
    <t>Mahsulot</t>
  </si>
  <si>
    <t>Miqdor</t>
  </si>
  <si>
    <t>Nuqson</t>
  </si>
  <si>
    <t>Uskuna</t>
  </si>
  <si>
    <t>Smena</t>
  </si>
  <si>
    <t>Holat</t>
  </si>
  <si>
    <t>Ishchi</t>
  </si>
  <si>
    <t>Xarajat</t>
  </si>
  <si>
    <t>Sifat</t>
  </si>
  <si>
    <t>Ombor</t>
  </si>
  <si>
    <t>Buyurtma</t>
  </si>
  <si>
    <t>Muddat</t>
  </si>
  <si>
    <t>Task1</t>
  </si>
  <si>
    <t>Task2</t>
  </si>
  <si>
    <t>Task3</t>
  </si>
  <si>
    <t>Task4</t>
  </si>
  <si>
    <t>Task5</t>
  </si>
  <si>
    <t>Task6</t>
  </si>
  <si>
    <t>Task7</t>
  </si>
  <si>
    <t>Task8</t>
  </si>
  <si>
    <t>Task9</t>
  </si>
  <si>
    <t>Task10</t>
  </si>
  <si>
    <t>Task11</t>
  </si>
  <si>
    <t>Task12</t>
  </si>
  <si>
    <t>Task13</t>
  </si>
  <si>
    <t>Task14</t>
  </si>
  <si>
    <t>Task15</t>
  </si>
  <si>
    <t>Task16</t>
  </si>
  <si>
    <t>Task17</t>
  </si>
  <si>
    <t>Task18</t>
  </si>
  <si>
    <t>Task19</t>
  </si>
  <si>
    <t>Task20</t>
  </si>
  <si>
    <t>Task21</t>
  </si>
  <si>
    <t>Task22</t>
  </si>
  <si>
    <t>Task23</t>
  </si>
  <si>
    <t>Task24</t>
  </si>
  <si>
    <t>Task25</t>
  </si>
  <si>
    <t>Task26</t>
  </si>
  <si>
    <t>Task27</t>
  </si>
  <si>
    <t>Task28</t>
  </si>
  <si>
    <t>Task29</t>
  </si>
  <si>
    <t>Task30</t>
  </si>
  <si>
    <t>Mashina o‘yinchoq</t>
  </si>
  <si>
    <t>M1</t>
  </si>
  <si>
    <t>Day</t>
  </si>
  <si>
    <t>Active</t>
  </si>
  <si>
    <t>Ali</t>
  </si>
  <si>
    <t>O‘rta</t>
  </si>
  <si>
    <t>Bor</t>
  </si>
  <si>
    <t>Ha</t>
  </si>
  <si>
    <t>2 kun</t>
  </si>
  <si>
    <t>Qo‘g‘irchoq</t>
  </si>
  <si>
    <t>M2</t>
  </si>
  <si>
    <t>Night</t>
  </si>
  <si>
    <t>G'ulom</t>
  </si>
  <si>
    <t>Yaxshi</t>
  </si>
  <si>
    <t>Yo‘q</t>
  </si>
  <si>
    <t>1 kun</t>
  </si>
  <si>
    <t>Pazl</t>
  </si>
  <si>
    <t>M3</t>
  </si>
  <si>
    <t>Sardor</t>
  </si>
  <si>
    <t>Past</t>
  </si>
  <si>
    <t>3 kun</t>
  </si>
  <si>
    <t>Robot</t>
  </si>
  <si>
    <t>Late</t>
  </si>
  <si>
    <t>Bekzod</t>
  </si>
  <si>
    <t>4 kun</t>
  </si>
  <si>
    <t>To‘p</t>
  </si>
  <si>
    <t>Jasur</t>
  </si>
  <si>
    <t>Konstruktor</t>
  </si>
  <si>
    <t>Aziz</t>
  </si>
  <si>
    <t>Poyezd</t>
  </si>
  <si>
    <t>Dilshod</t>
  </si>
  <si>
    <t>Samolyot</t>
  </si>
  <si>
    <t>Umid</t>
  </si>
  <si>
    <t>Ayiqcha</t>
  </si>
  <si>
    <t>Rustam</t>
  </si>
  <si>
    <t>Vertolyot</t>
  </si>
  <si>
    <t>Sherzod</t>
  </si>
  <si>
    <t>Customer Name</t>
  </si>
  <si>
    <t>Quantity</t>
  </si>
  <si>
    <t>Region</t>
  </si>
  <si>
    <t>Debt</t>
  </si>
  <si>
    <t>Monthly Sales</t>
  </si>
  <si>
    <t>Status</t>
  </si>
  <si>
    <t>Customer Type</t>
  </si>
  <si>
    <t>Discount %</t>
  </si>
  <si>
    <t>Fergana</t>
  </si>
  <si>
    <t>Retail</t>
  </si>
  <si>
    <t>Turob</t>
  </si>
  <si>
    <t>Namangan</t>
  </si>
  <si>
    <t>Wholesale</t>
  </si>
  <si>
    <t>Passive</t>
  </si>
  <si>
    <t>Khorezm</t>
  </si>
  <si>
    <t>Samarkand</t>
  </si>
  <si>
    <t>VIP</t>
  </si>
  <si>
    <t>Bukhara</t>
  </si>
  <si>
    <t>Andijan</t>
  </si>
  <si>
    <t>Tashkent</t>
  </si>
  <si>
    <t>Akmal</t>
  </si>
  <si>
    <t>Javohir</t>
  </si>
  <si>
    <t>Islom</t>
  </si>
  <si>
    <t>Anvar</t>
  </si>
  <si>
    <t>Kamol</t>
  </si>
  <si>
    <t>Shoxrux</t>
  </si>
  <si>
    <t>Farrux</t>
  </si>
  <si>
    <t>Doniyor</t>
  </si>
  <si>
    <t>Oybek</t>
  </si>
  <si>
    <t>Jamshid</t>
  </si>
  <si>
    <t>Zafar</t>
  </si>
  <si>
    <t>Sanjar</t>
  </si>
  <si>
    <t>Mirjalol</t>
  </si>
  <si>
    <t>Bobur</t>
  </si>
  <si>
    <t>Eldor</t>
  </si>
  <si>
    <t>Nodir</t>
  </si>
  <si>
    <t>Abror</t>
  </si>
  <si>
    <t>Shavkat</t>
  </si>
  <si>
    <t>Murod</t>
  </si>
  <si>
    <t>Temur</t>
  </si>
  <si>
    <t>1. Agar Oylik savdo &gt; 100000000 bo‘lsa → "Yuqori", aks holda "Past"</t>
  </si>
  <si>
    <t>2. Agar Qarzdorlik &gt; 10000000 bo‘lsa → "Qarzdor"</t>
  </si>
  <si>
    <t>3. Agar Hudud = "Tashkent" bo‘lsa → "Poytaxt"</t>
  </si>
  <si>
    <t>4. Agar Mijoz turi = "VIP" bo‘lsa → "Muhim"</t>
  </si>
  <si>
    <t>5. Agar Chegirma % &gt; 10 bo‘lsa → "Katta chegirma"</t>
  </si>
  <si>
    <t>6. Agar Miqdor &gt; 30 bo‘lsa → "Ko‘p xarid"</t>
  </si>
  <si>
    <t>7. Agar Oylik savdo &lt; 80000000 bo‘lsa → "Sust"</t>
  </si>
  <si>
    <t>8. Agar Qarzdorlik = 0 bo‘lsa → "Qarzi yo‘q"</t>
  </si>
  <si>
    <t>9. Agar Hudud = "Samarkand" bo‘lsa → "Hudud 1"</t>
  </si>
  <si>
    <t>10. Agar Mijoz turi = "Retail" bo‘lsa → "Oddiy mijoz"</t>
  </si>
  <si>
    <t>11. Agar Oylik savdo &gt; 150000000 yoki Qarzdorlik &gt; 15000000 bo‘lsa → "Xavf/Yuqori"</t>
  </si>
  <si>
    <t>12. Agar Hudud = "Tashkent" yoki Hudud = "Samarkand" → "Asosiy hudud"</t>
  </si>
  <si>
    <t>13. Agar Mijoz turi = "VIP" yoki Chegirma % &gt; 15 → "Ustuvor mijoz"</t>
  </si>
  <si>
    <t>14. Agar Qarzdorlik &gt; 10000000 yoki Miqdor &gt; 40 → "E’tibor kerak"</t>
  </si>
  <si>
    <t>15. Agar Oylik savdo &lt; 70000000 yoki Chegirma % &gt; 10 → "Tekshirish"</t>
  </si>
  <si>
    <t>16. Agar Mijoz turi "VIP" emas bo‘lsa → "Oddiy mijoz"</t>
  </si>
  <si>
    <t>17. Agar Hudud "Tashkent" emas bo‘lsa → "Poytaxt tashqarisi"</t>
  </si>
  <si>
    <t>18. Agar Oylik savdo &gt; 100000000 emas bo‘lsa → "Rejadan past"</t>
  </si>
  <si>
    <t>19. Agar Chegirma % &gt; 10 emas bo‘lsa → "Kichik chegirma"</t>
  </si>
  <si>
    <t>20. Agar Hudud = "Bukhara" yoki Qarzdorlik &gt; 12000000 → "Xavfli hudud"</t>
  </si>
  <si>
    <t>21. Agar Oylik savdo &gt; 150000000 yoki Qarzdorlik &lt; 10000000 emas bo‘lsa → "Kritik"</t>
  </si>
  <si>
    <t>22. Agar Mijoz turi "Retail" emas yoki Chegirma % &gt; 15 → "Maxsus mijoz"</t>
  </si>
  <si>
    <t>23. Agar Hudud = "Tashkent" yoki Oylik savdo &gt; 120000000 emas bo‘lsa → "Fokus"</t>
  </si>
  <si>
    <t>24. Agar Chegirma % &gt; 10 emas yoki Oylik savdo &gt; 180000000 → "Qayta ko‘rib chiqish"</t>
  </si>
  <si>
    <t>25. Agar Qarzdorlik &gt; 15000000 yoki Mijoz turi "VIP" emas → "Tekshirish kerak"</t>
  </si>
  <si>
    <t>26. Agar Oylik savdo &gt; 100000000 yoki Hudud = "Samarkand" emas → "Maqsadli"</t>
  </si>
  <si>
    <t>27. Agar Qarzdorlik &lt; 5000000 emas yoki Chegirma % &gt; 15 → "Xavfli chegirma"</t>
  </si>
  <si>
    <t>28. Agar Mijoz turi = "VIP" yoki Oylik savdo &gt; 90000000 emas → "VIP/Sust"</t>
  </si>
  <si>
    <t>29. Agar Hudud = "Fergana" yoki Miqdor &gt; 20 emas → "Faollik past"</t>
  </si>
  <si>
    <t>30. Agar Mijoz turi "Wholesale" emas yoki Oylik savdo &gt; 160000000 → "Asosiy mijoz"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</si>
</sst>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-* #,##0\ [$сўм-843]_-;\-* #,##0\ [$сўм-843]_-;_-* &quot;-&quot;??\ [$сўм-843]_-;_-@_-"/>
    <numFmt numFmtId="178" formatCode="_ * #,##0_ ;_ * \-#,##0_ ;_ * &quot;-&quot;_ ;_ @_ "/>
  </numFmts>
  <fonts count="22">
    <font>
      <sz val="11"/>
      <color theme="1"/>
      <name val="Calibri"/>
      <charset val="204"/>
      <scheme val="minor"/>
    </font>
    <font>
      <b/>
      <sz val="11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4" fillId="25" borderId="0">
      <alignment vertical="center"/>
    </xf>
    <xf numFmtId="0" fontId="6" fillId="23" borderId="0">
      <alignment vertical="center"/>
    </xf>
    <xf numFmtId="0" fontId="4" fillId="35" borderId="0">
      <alignment vertical="center"/>
    </xf>
    <xf numFmtId="0" fontId="4" fillId="26" borderId="0">
      <alignment vertical="center"/>
    </xf>
    <xf numFmtId="0" fontId="6" fillId="34" borderId="0">
      <alignment vertical="center"/>
    </xf>
    <xf numFmtId="0" fontId="6" fillId="36" borderId="0">
      <alignment vertical="center"/>
    </xf>
    <xf numFmtId="0" fontId="4" fillId="29" borderId="0">
      <alignment vertical="center"/>
    </xf>
    <xf numFmtId="0" fontId="4" fillId="22" borderId="0">
      <alignment vertical="center"/>
    </xf>
    <xf numFmtId="0" fontId="6" fillId="30" borderId="0">
      <alignment vertical="center"/>
    </xf>
    <xf numFmtId="0" fontId="4" fillId="27" borderId="0">
      <alignment vertical="center"/>
    </xf>
    <xf numFmtId="0" fontId="19" fillId="0" borderId="8">
      <alignment vertical="center"/>
    </xf>
    <xf numFmtId="0" fontId="6" fillId="20" borderId="0">
      <alignment vertical="center"/>
    </xf>
    <xf numFmtId="0" fontId="4" fillId="24" borderId="0">
      <alignment vertical="center"/>
    </xf>
    <xf numFmtId="0" fontId="4" fillId="18" borderId="0">
      <alignment vertical="center"/>
    </xf>
    <xf numFmtId="0" fontId="6" fillId="21" borderId="0">
      <alignment vertical="center"/>
    </xf>
    <xf numFmtId="0" fontId="6" fillId="19" borderId="0">
      <alignment vertical="center"/>
    </xf>
    <xf numFmtId="0" fontId="4" fillId="17" borderId="0">
      <alignment vertical="center"/>
    </xf>
    <xf numFmtId="0" fontId="6" fillId="16" borderId="0">
      <alignment vertical="center"/>
    </xf>
    <xf numFmtId="0" fontId="6" fillId="32" borderId="0">
      <alignment vertical="center"/>
    </xf>
    <xf numFmtId="0" fontId="4" fillId="31" borderId="0">
      <alignment vertical="center"/>
    </xf>
    <xf numFmtId="0" fontId="5" fillId="7" borderId="0">
      <alignment vertical="center"/>
    </xf>
    <xf numFmtId="0" fontId="4" fillId="28" borderId="0">
      <alignment vertical="center"/>
    </xf>
    <xf numFmtId="0" fontId="11" fillId="12" borderId="0">
      <alignment vertical="center"/>
    </xf>
    <xf numFmtId="0" fontId="6" fillId="8" borderId="0">
      <alignment vertical="center"/>
    </xf>
    <xf numFmtId="0" fontId="20" fillId="0" borderId="9">
      <alignment vertical="center"/>
    </xf>
    <xf numFmtId="0" fontId="17" fillId="14" borderId="7">
      <alignment vertical="center"/>
    </xf>
    <xf numFmtId="44" fontId="2" fillId="0" borderId="0">
      <alignment vertical="center"/>
    </xf>
    <xf numFmtId="0" fontId="6" fillId="10" borderId="0">
      <alignment vertical="center"/>
    </xf>
    <xf numFmtId="0" fontId="2" fillId="33" borderId="10">
      <alignment vertical="center"/>
    </xf>
    <xf numFmtId="0" fontId="16" fillId="15" borderId="6">
      <alignment vertical="center"/>
    </xf>
    <xf numFmtId="0" fontId="13" fillId="0" borderId="0">
      <alignment vertical="center"/>
    </xf>
    <xf numFmtId="0" fontId="15" fillId="14" borderId="6">
      <alignment vertical="center"/>
    </xf>
    <xf numFmtId="0" fontId="14" fillId="13" borderId="0">
      <alignment vertical="center"/>
    </xf>
    <xf numFmtId="0" fontId="13" fillId="0" borderId="5">
      <alignment vertical="center"/>
    </xf>
    <xf numFmtId="0" fontId="12" fillId="0" borderId="0">
      <alignment vertical="center"/>
    </xf>
    <xf numFmtId="0" fontId="9" fillId="0" borderId="3">
      <alignment vertical="center"/>
    </xf>
    <xf numFmtId="178" fontId="2" fillId="0" borderId="0">
      <alignment vertical="center"/>
    </xf>
    <xf numFmtId="0" fontId="6" fillId="9" borderId="0">
      <alignment vertical="center"/>
    </xf>
    <xf numFmtId="0" fontId="3" fillId="0" borderId="0">
      <alignment vertical="center"/>
    </xf>
    <xf numFmtId="42" fontId="2" fillId="0" borderId="0">
      <alignment vertical="center"/>
    </xf>
    <xf numFmtId="0" fontId="18" fillId="0" borderId="0">
      <alignment vertical="center"/>
    </xf>
    <xf numFmtId="0" fontId="8" fillId="0" borderId="0">
      <alignment vertical="center"/>
    </xf>
    <xf numFmtId="0" fontId="7" fillId="0" borderId="3">
      <alignment vertical="center"/>
    </xf>
    <xf numFmtId="176" fontId="2" fillId="0" borderId="0">
      <alignment vertical="center"/>
    </xf>
    <xf numFmtId="0" fontId="10" fillId="11" borderId="4">
      <alignment vertical="center"/>
    </xf>
    <xf numFmtId="0" fontId="4" fillId="6" borderId="0">
      <alignment vertical="center"/>
    </xf>
    <xf numFmtId="9" fontId="2" fillId="0" borderId="0">
      <alignment vertical="center"/>
    </xf>
    <xf numFmtId="0" fontId="21" fillId="0" borderId="0">
      <alignment vertical="center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2" fillId="0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43"/>
  <sheetViews>
    <sheetView workbookViewId="0">
      <selection activeCell="D14" sqref="D14"/>
    </sheetView>
  </sheetViews>
  <sheetFormatPr defaultColWidth="9" defaultRowHeight="14.25"/>
  <cols>
    <col min="1" max="1" width="88.5" style="11" customWidth="1"/>
    <col min="2" max="2" width="7.21666666666667" style="11" customWidth="1"/>
    <col min="3" max="3" width="7.55833333333333" style="11" customWidth="1"/>
    <col min="4" max="4" width="7.33333333333333" style="11" customWidth="1"/>
    <col min="5" max="5" width="6.775" style="11" customWidth="1"/>
    <col min="6" max="6" width="6" style="11" customWidth="1"/>
    <col min="7" max="7" width="7.44166666666667" style="11" customWidth="1"/>
    <col min="8" max="8" width="7" style="11" customWidth="1"/>
    <col min="9" max="9" width="6.10833333333333" style="11" customWidth="1"/>
    <col min="10" max="10" width="6.88333333333333" style="11" customWidth="1"/>
    <col min="11" max="11" width="9.33333333333333" style="11" customWidth="1"/>
    <col min="12" max="12" width="7.775" style="11" customWidth="1"/>
    <col min="13" max="13" width="9.25" style="11" customWidth="1"/>
    <col min="14" max="14" width="10.75" style="11" customWidth="1"/>
    <col min="15" max="15" width="9.375" style="11" customWidth="1"/>
    <col min="16" max="16" width="10.125" style="11" customWidth="1"/>
    <col min="17" max="17" width="11.875" style="11" customWidth="1"/>
    <col min="18" max="18" width="9.25" style="11" customWidth="1"/>
    <col min="19" max="19" width="10.75" style="11" customWidth="1"/>
    <col min="20" max="20" width="9.375" style="11" customWidth="1"/>
    <col min="21" max="21" width="10.125" style="11" customWidth="1"/>
    <col min="22" max="22" width="11.875" style="11" customWidth="1"/>
    <col min="23" max="23" width="9.25" style="11" customWidth="1"/>
    <col min="24" max="24" width="10.75" style="11" customWidth="1"/>
    <col min="25" max="25" width="9.375" style="11" customWidth="1"/>
    <col min="26" max="26" width="10.125" style="11" customWidth="1"/>
    <col min="27" max="27" width="11.875" style="11" customWidth="1"/>
    <col min="28" max="28" width="9.25" style="11" customWidth="1"/>
    <col min="29" max="29" width="10.75" style="11" customWidth="1"/>
    <col min="30" max="30" width="9.375" style="11" customWidth="1"/>
    <col min="31" max="31" width="10.125" style="11" customWidth="1"/>
    <col min="32" max="32" width="11.875" style="11" customWidth="1"/>
    <col min="33" max="33" width="9.25" style="11" customWidth="1"/>
    <col min="34" max="34" width="10.75" style="11" customWidth="1"/>
    <col min="35" max="35" width="9.375" style="11" customWidth="1"/>
    <col min="36" max="36" width="10.125" style="11" customWidth="1"/>
    <col min="37" max="37" width="11.875" style="11" customWidth="1"/>
    <col min="38" max="38" width="9.25" style="11" customWidth="1"/>
    <col min="39" max="39" width="10.75" style="11" customWidth="1"/>
    <col min="40" max="40" width="9.375" style="11" customWidth="1"/>
    <col min="41" max="41" width="10.125" style="11" customWidth="1"/>
    <col min="42" max="42" width="11.875" style="11" customWidth="1"/>
    <col min="43" max="16384" width="9" style="11" customWidth="1"/>
  </cols>
  <sheetData>
    <row r="1" s="10" customFormat="1" spans="1:4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</row>
    <row r="2" spans="1:42">
      <c r="A2" s="13" t="s">
        <v>42</v>
      </c>
      <c r="B2" s="13">
        <v>120</v>
      </c>
      <c r="C2" s="13">
        <v>5</v>
      </c>
      <c r="D2" s="13" t="s">
        <v>43</v>
      </c>
      <c r="E2" s="13" t="s">
        <v>44</v>
      </c>
      <c r="F2" s="13" t="s">
        <v>45</v>
      </c>
      <c r="G2" s="13" t="s">
        <v>46</v>
      </c>
      <c r="H2" s="13">
        <v>500000</v>
      </c>
      <c r="I2" s="13" t="s">
        <v>47</v>
      </c>
      <c r="J2" s="13" t="s">
        <v>48</v>
      </c>
      <c r="K2" s="13" t="s">
        <v>49</v>
      </c>
      <c r="L2" s="13" t="s">
        <v>50</v>
      </c>
      <c r="M2" s="18" t="str">
        <f>IF(OR(C2&gt;5,I2="Past"),"Muammo","OK")</f>
        <v>OK</v>
      </c>
      <c r="N2" s="18" t="str">
        <f>IF(OR(J2="Yo‘q",K2="Ha"),"Tekshirilsin","Normal")</f>
        <v>Tekshirilsin</v>
      </c>
      <c r="O2" s="18" t="str">
        <f>IF(F2&lt;&gt;"Active","To‘xtagan","Ishlayapti")</f>
        <v>Ishlayapti</v>
      </c>
      <c r="P2" s="18" t="str">
        <f>IF(OR(B2&gt;100,C2&gt;5),"Yuqori risk","Past risk")</f>
        <v>Yuqori risk</v>
      </c>
      <c r="Q2" s="18" t="str">
        <f>IF(OR(D2="M1",D2="M2"),"Asosiy liniya","Yordamchi")</f>
        <v>Asosiy liniya</v>
      </c>
      <c r="R2" s="18" t="str">
        <f>IF(OR(C2&gt;5,I2="Past"),"Muammo","OK")</f>
        <v>OK</v>
      </c>
      <c r="S2" s="18" t="str">
        <f>IF(OR(J2="Yo‘q",K2="Ha"),"Tekshirilsin","Normal")</f>
        <v>Tekshirilsin</v>
      </c>
      <c r="T2" s="18" t="str">
        <f>IF(F2&lt;&gt;"Active","To‘xtagan","Ishlayapti")</f>
        <v>Ishlayapti</v>
      </c>
      <c r="U2" s="18" t="str">
        <f>IF(OR(B2&gt;100,C2&gt;5),"Yuqori risk","Past risk")</f>
        <v>Yuqori risk</v>
      </c>
      <c r="V2" s="18" t="str">
        <f>IF(OR(D2="M1",D2="M2"),"Asosiy liniya","Yordamchi")</f>
        <v>Asosiy liniya</v>
      </c>
      <c r="W2" s="18" t="str">
        <f>IF(OR(C2&gt;5,I2="Past"),"Muammo","OK")</f>
        <v>OK</v>
      </c>
      <c r="X2" s="18" t="str">
        <f>IF(OR(J2="Yo‘q",K2="Ha"),"Tekshirilsin","Normal")</f>
        <v>Tekshirilsin</v>
      </c>
      <c r="Y2" s="18" t="str">
        <f>IF(F2&lt;&gt;"Active","To‘xtagan","Ishlayapti")</f>
        <v>Ishlayapti</v>
      </c>
      <c r="Z2" s="18" t="str">
        <f>IF(OR(B2&gt;100,C2&gt;5),"Yuqori risk","Past risk")</f>
        <v>Yuqori risk</v>
      </c>
      <c r="AA2" s="18" t="str">
        <f>IF(OR(D2="M1",D2="M2"),"Asosiy liniya","Yordamchi")</f>
        <v>Asosiy liniya</v>
      </c>
      <c r="AB2" s="18" t="str">
        <f>IF(OR(C2&gt;5,I2="Past"),"Muammo","OK")</f>
        <v>OK</v>
      </c>
      <c r="AC2" s="18" t="str">
        <f>IF(OR(J2="Yo‘q",K2="Ha"),"Tekshirilsin","Normal")</f>
        <v>Tekshirilsin</v>
      </c>
      <c r="AD2" s="18" t="str">
        <f>IF(F2&lt;&gt;"Active","To‘xtagan","Ishlayapti")</f>
        <v>Ishlayapti</v>
      </c>
      <c r="AE2" s="18" t="str">
        <f>IF(OR(B2&gt;100,C2&gt;5),"Yuqori risk","Past risk")</f>
        <v>Yuqori risk</v>
      </c>
      <c r="AF2" s="18" t="str">
        <f>IF(OR(D2="M1",D2="M2"),"Asosiy liniya","Yordamchi")</f>
        <v>Asosiy liniya</v>
      </c>
      <c r="AG2" s="18" t="str">
        <f>IF(OR(C2&gt;5,I2="Past"),"Muammo","OK")</f>
        <v>OK</v>
      </c>
      <c r="AH2" s="18" t="str">
        <f>IF(OR(J2="Yo‘q",K2="Ha"),"Tekshirilsin","Normal")</f>
        <v>Tekshirilsin</v>
      </c>
      <c r="AI2" s="18" t="str">
        <f>IF(F2&lt;&gt;"Active","To‘xtagan","Ishlayapti")</f>
        <v>Ishlayapti</v>
      </c>
      <c r="AJ2" s="18" t="str">
        <f>IF(OR(B2&gt;100,C2&gt;5),"Yuqori risk","Past risk")</f>
        <v>Yuqori risk</v>
      </c>
      <c r="AK2" s="18" t="str">
        <f>IF(OR(D2="M1",D2="M2"),"Asosiy liniya","Yordamchi")</f>
        <v>Asosiy liniya</v>
      </c>
      <c r="AL2" s="18" t="str">
        <f>IF(OR(C2&gt;5,I2="Past"),"Muammo","OK")</f>
        <v>OK</v>
      </c>
      <c r="AM2" s="18" t="str">
        <f>IF(OR(J2="Yo‘q",K2="Ha"),"Tekshirilsin","Normal")</f>
        <v>Tekshirilsin</v>
      </c>
      <c r="AN2" s="18" t="str">
        <f>IF(F2&lt;&gt;"Active","To‘xtagan","Ishlayapti")</f>
        <v>Ishlayapti</v>
      </c>
      <c r="AO2" s="18" t="str">
        <f>IF(OR(B2&gt;100,C2&gt;5),"Yuqori risk","Past risk")</f>
        <v>Yuqori risk</v>
      </c>
      <c r="AP2" s="18" t="str">
        <f>IF(OR(D2="M1",D2="M2"),"Asosiy liniya","Yordamchi")</f>
        <v>Asosiy liniya</v>
      </c>
    </row>
    <row r="3" spans="1:42">
      <c r="A3" s="13" t="s">
        <v>51</v>
      </c>
      <c r="B3" s="13">
        <v>80</v>
      </c>
      <c r="C3" s="13">
        <v>2</v>
      </c>
      <c r="D3" s="13" t="s">
        <v>52</v>
      </c>
      <c r="E3" s="13" t="s">
        <v>53</v>
      </c>
      <c r="F3" s="13" t="s">
        <v>45</v>
      </c>
      <c r="G3" s="13" t="s">
        <v>54</v>
      </c>
      <c r="H3" s="13">
        <v>300000</v>
      </c>
      <c r="I3" s="13" t="s">
        <v>55</v>
      </c>
      <c r="J3" s="13" t="s">
        <v>48</v>
      </c>
      <c r="K3" s="13" t="s">
        <v>56</v>
      </c>
      <c r="L3" s="13" t="s">
        <v>57</v>
      </c>
      <c r="M3" s="18" t="str">
        <f>IF(OR(C3&gt;5,I3="Past"),"Muammo","OK")</f>
        <v>OK</v>
      </c>
      <c r="N3" s="18" t="str">
        <f>IF(OR(J3="Yo‘q",K3="Ha"),"Tekshirilsin","Normal")</f>
        <v>Normal</v>
      </c>
      <c r="O3" s="18" t="str">
        <f>IF(F3&lt;&gt;"Active","To‘xtagan","Ishlayapti")</f>
        <v>Ishlayapti</v>
      </c>
      <c r="P3" s="18" t="str">
        <f>IF(OR(B3&gt;100,C3&gt;5),"Yuqori risk","Past risk")</f>
        <v>Past risk</v>
      </c>
      <c r="Q3" s="18" t="str">
        <f>IF(OR(D3="M1",D3="M2"),"Asosiy liniya","Yordamchi")</f>
        <v>Asosiy liniya</v>
      </c>
      <c r="R3" s="18" t="str">
        <f>IF(OR(C3&gt;5,I3="Past"),"Muammo","OK")</f>
        <v>OK</v>
      </c>
      <c r="S3" s="18" t="str">
        <f>IF(OR(J3="Yo‘q",K3="Ha"),"Tekshirilsin","Normal")</f>
        <v>Normal</v>
      </c>
      <c r="T3" s="18" t="str">
        <f>IF(F3&lt;&gt;"Active","To‘xtagan","Ishlayapti")</f>
        <v>Ishlayapti</v>
      </c>
      <c r="U3" s="18" t="str">
        <f>IF(OR(B3&gt;100,C3&gt;5),"Yuqori risk","Past risk")</f>
        <v>Past risk</v>
      </c>
      <c r="V3" s="18" t="str">
        <f>IF(OR(D3="M1",D3="M2"),"Asosiy liniya","Yordamchi")</f>
        <v>Asosiy liniya</v>
      </c>
      <c r="W3" s="18" t="str">
        <f>IF(OR(C3&gt;5,I3="Past"),"Muammo","OK")</f>
        <v>OK</v>
      </c>
      <c r="X3" s="18" t="str">
        <f>IF(OR(J3="Yo‘q",K3="Ha"),"Tekshirilsin","Normal")</f>
        <v>Normal</v>
      </c>
      <c r="Y3" s="18" t="str">
        <f>IF(F3&lt;&gt;"Active","To‘xtagan","Ishlayapti")</f>
        <v>Ishlayapti</v>
      </c>
      <c r="Z3" s="18" t="str">
        <f>IF(OR(B3&gt;100,C3&gt;5),"Yuqori risk","Past risk")</f>
        <v>Past risk</v>
      </c>
      <c r="AA3" s="18" t="str">
        <f>IF(OR(D3="M1",D3="M2"),"Asosiy liniya","Yordamchi")</f>
        <v>Asosiy liniya</v>
      </c>
      <c r="AB3" s="18" t="str">
        <f>IF(OR(C3&gt;5,I3="Past"),"Muammo","OK")</f>
        <v>OK</v>
      </c>
      <c r="AC3" s="18" t="str">
        <f>IF(OR(J3="Yo‘q",K3="Ha"),"Tekshirilsin","Normal")</f>
        <v>Normal</v>
      </c>
      <c r="AD3" s="18" t="str">
        <f>IF(F3&lt;&gt;"Active","To‘xtagan","Ishlayapti")</f>
        <v>Ishlayapti</v>
      </c>
      <c r="AE3" s="18" t="str">
        <f>IF(OR(B3&gt;100,C3&gt;5),"Yuqori risk","Past risk")</f>
        <v>Past risk</v>
      </c>
      <c r="AF3" s="18" t="str">
        <f>IF(OR(D3="M1",D3="M2"),"Asosiy liniya","Yordamchi")</f>
        <v>Asosiy liniya</v>
      </c>
      <c r="AG3" s="18" t="str">
        <f>IF(OR(C3&gt;5,I3="Past"),"Muammo","OK")</f>
        <v>OK</v>
      </c>
      <c r="AH3" s="18" t="str">
        <f>IF(OR(J3="Yo‘q",K3="Ha"),"Tekshirilsin","Normal")</f>
        <v>Normal</v>
      </c>
      <c r="AI3" s="18" t="str">
        <f>IF(F3&lt;&gt;"Active","To‘xtagan","Ishlayapti")</f>
        <v>Ishlayapti</v>
      </c>
      <c r="AJ3" s="18" t="str">
        <f>IF(OR(B3&gt;100,C3&gt;5),"Yuqori risk","Past risk")</f>
        <v>Past risk</v>
      </c>
      <c r="AK3" s="18" t="str">
        <f>IF(OR(D3="M1",D3="M2"),"Asosiy liniya","Yordamchi")</f>
        <v>Asosiy liniya</v>
      </c>
      <c r="AL3" s="18" t="str">
        <f>IF(OR(C3&gt;5,I3="Past"),"Muammo","OK")</f>
        <v>OK</v>
      </c>
      <c r="AM3" s="18" t="str">
        <f>IF(OR(J3="Yo‘q",K3="Ha"),"Tekshirilsin","Normal")</f>
        <v>Normal</v>
      </c>
      <c r="AN3" s="18" t="str">
        <f>IF(F3&lt;&gt;"Active","To‘xtagan","Ishlayapti")</f>
        <v>Ishlayapti</v>
      </c>
      <c r="AO3" s="18" t="str">
        <f>IF(OR(B3&gt;100,C3&gt;5),"Yuqori risk","Past risk")</f>
        <v>Past risk</v>
      </c>
      <c r="AP3" s="18" t="str">
        <f>IF(OR(D3="M1",D3="M2"),"Asosiy liniya","Yordamchi")</f>
        <v>Asosiy liniya</v>
      </c>
    </row>
    <row r="4" spans="1:42">
      <c r="A4" s="13" t="s">
        <v>58</v>
      </c>
      <c r="B4" s="13">
        <v>200</v>
      </c>
      <c r="C4" s="13">
        <v>10</v>
      </c>
      <c r="D4" s="13" t="s">
        <v>59</v>
      </c>
      <c r="E4" s="13" t="s">
        <v>44</v>
      </c>
      <c r="F4" s="13" t="s">
        <v>45</v>
      </c>
      <c r="G4" s="13" t="s">
        <v>60</v>
      </c>
      <c r="H4" s="13">
        <v>700000</v>
      </c>
      <c r="I4" s="13" t="s">
        <v>61</v>
      </c>
      <c r="J4" s="13" t="s">
        <v>56</v>
      </c>
      <c r="K4" s="13" t="s">
        <v>49</v>
      </c>
      <c r="L4" s="13" t="s">
        <v>62</v>
      </c>
      <c r="M4" s="18" t="str">
        <f>IF(OR(C4&gt;5,I4="Past"),"Muammo","OK")</f>
        <v>Muammo</v>
      </c>
      <c r="N4" s="18" t="str">
        <f>IF(OR(J4="Yo‘q",K4="Ha"),"Tekshirilsin","Normal")</f>
        <v>Tekshirilsin</v>
      </c>
      <c r="O4" s="18" t="str">
        <f>IF(F4&lt;&gt;"Active","To‘xtagan","Ishlayapti")</f>
        <v>Ishlayapti</v>
      </c>
      <c r="P4" s="18" t="str">
        <f>IF(OR(B4&gt;100,C4&gt;5),"Yuqori risk","Past risk")</f>
        <v>Yuqori risk</v>
      </c>
      <c r="Q4" s="18" t="str">
        <f>IF(OR(D4="M1",D4="M2"),"Asosiy liniya","Yordamchi")</f>
        <v>Yordamchi</v>
      </c>
      <c r="R4" s="18" t="str">
        <f>IF(OR(C4&gt;5,I4="Past"),"Muammo","OK")</f>
        <v>Muammo</v>
      </c>
      <c r="S4" s="18" t="str">
        <f>IF(OR(J4="Yo‘q",K4="Ha"),"Tekshirilsin","Normal")</f>
        <v>Tekshirilsin</v>
      </c>
      <c r="T4" s="18" t="str">
        <f>IF(F4&lt;&gt;"Active","To‘xtagan","Ishlayapti")</f>
        <v>Ishlayapti</v>
      </c>
      <c r="U4" s="18" t="str">
        <f>IF(OR(B4&gt;100,C4&gt;5),"Yuqori risk","Past risk")</f>
        <v>Yuqori risk</v>
      </c>
      <c r="V4" s="18" t="str">
        <f>IF(OR(D4="M1",D4="M2"),"Asosiy liniya","Yordamchi")</f>
        <v>Yordamchi</v>
      </c>
      <c r="W4" s="18" t="str">
        <f>IF(OR(C4&gt;5,I4="Past"),"Muammo","OK")</f>
        <v>Muammo</v>
      </c>
      <c r="X4" s="18" t="str">
        <f>IF(OR(J4="Yo‘q",K4="Ha"),"Tekshirilsin","Normal")</f>
        <v>Tekshirilsin</v>
      </c>
      <c r="Y4" s="18" t="str">
        <f>IF(F4&lt;&gt;"Active","To‘xtagan","Ishlayapti")</f>
        <v>Ishlayapti</v>
      </c>
      <c r="Z4" s="18" t="str">
        <f>IF(OR(B4&gt;100,C4&gt;5),"Yuqori risk","Past risk")</f>
        <v>Yuqori risk</v>
      </c>
      <c r="AA4" s="18" t="str">
        <f>IF(OR(D4="M1",D4="M2"),"Asosiy liniya","Yordamchi")</f>
        <v>Yordamchi</v>
      </c>
      <c r="AB4" s="18" t="str">
        <f>IF(OR(C4&gt;5,I4="Past"),"Muammo","OK")</f>
        <v>Muammo</v>
      </c>
      <c r="AC4" s="18" t="str">
        <f>IF(OR(J4="Yo‘q",K4="Ha"),"Tekshirilsin","Normal")</f>
        <v>Tekshirilsin</v>
      </c>
      <c r="AD4" s="18" t="str">
        <f>IF(F4&lt;&gt;"Active","To‘xtagan","Ishlayapti")</f>
        <v>Ishlayapti</v>
      </c>
      <c r="AE4" s="18" t="str">
        <f>IF(OR(B4&gt;100,C4&gt;5),"Yuqori risk","Past risk")</f>
        <v>Yuqori risk</v>
      </c>
      <c r="AF4" s="18" t="str">
        <f>IF(OR(D4="M1",D4="M2"),"Asosiy liniya","Yordamchi")</f>
        <v>Yordamchi</v>
      </c>
      <c r="AG4" s="18" t="str">
        <f>IF(OR(C4&gt;5,I4="Past"),"Muammo","OK")</f>
        <v>Muammo</v>
      </c>
      <c r="AH4" s="18" t="str">
        <f>IF(OR(J4="Yo‘q",K4="Ha"),"Tekshirilsin","Normal")</f>
        <v>Tekshirilsin</v>
      </c>
      <c r="AI4" s="18" t="str">
        <f>IF(F4&lt;&gt;"Active","To‘xtagan","Ishlayapti")</f>
        <v>Ishlayapti</v>
      </c>
      <c r="AJ4" s="18" t="str">
        <f>IF(OR(B4&gt;100,C4&gt;5),"Yuqori risk","Past risk")</f>
        <v>Yuqori risk</v>
      </c>
      <c r="AK4" s="18" t="str">
        <f>IF(OR(D4="M1",D4="M2"),"Asosiy liniya","Yordamchi")</f>
        <v>Yordamchi</v>
      </c>
      <c r="AL4" s="18" t="str">
        <f>IF(OR(C4&gt;5,I4="Past"),"Muammo","OK")</f>
        <v>Muammo</v>
      </c>
      <c r="AM4" s="18" t="str">
        <f>IF(OR(J4="Yo‘q",K4="Ha"),"Tekshirilsin","Normal")</f>
        <v>Tekshirilsin</v>
      </c>
      <c r="AN4" s="18" t="str">
        <f>IF(F4&lt;&gt;"Active","To‘xtagan","Ishlayapti")</f>
        <v>Ishlayapti</v>
      </c>
      <c r="AO4" s="18" t="str">
        <f>IF(OR(B4&gt;100,C4&gt;5),"Yuqori risk","Past risk")</f>
        <v>Yuqori risk</v>
      </c>
      <c r="AP4" s="18" t="str">
        <f>IF(OR(D4="M1",D4="M2"),"Asosiy liniya","Yordamchi")</f>
        <v>Yordamchi</v>
      </c>
    </row>
    <row r="5" spans="1:42">
      <c r="A5" s="13" t="s">
        <v>63</v>
      </c>
      <c r="B5" s="13">
        <v>60</v>
      </c>
      <c r="C5" s="13">
        <v>8</v>
      </c>
      <c r="D5" s="13" t="s">
        <v>43</v>
      </c>
      <c r="E5" s="13" t="s">
        <v>53</v>
      </c>
      <c r="F5" s="13" t="s">
        <v>64</v>
      </c>
      <c r="G5" s="13" t="s">
        <v>65</v>
      </c>
      <c r="H5" s="13">
        <v>400000</v>
      </c>
      <c r="I5" s="13" t="s">
        <v>61</v>
      </c>
      <c r="J5" s="13" t="s">
        <v>48</v>
      </c>
      <c r="K5" s="13" t="s">
        <v>49</v>
      </c>
      <c r="L5" s="13" t="s">
        <v>66</v>
      </c>
      <c r="M5" s="18" t="str">
        <f>IF(OR(C5&gt;5,I5="Past"),"Muammo","OK")</f>
        <v>Muammo</v>
      </c>
      <c r="N5" s="18" t="str">
        <f>IF(OR(J5="Yo‘q",K5="Ha"),"Tekshirilsin","Normal")</f>
        <v>Tekshirilsin</v>
      </c>
      <c r="O5" s="18" t="str">
        <f>IF(F5&lt;&gt;"Active","To‘xtagan","Ishlayapti")</f>
        <v>To‘xtagan</v>
      </c>
      <c r="P5" s="18" t="str">
        <f>IF(OR(B5&gt;100,C5&gt;5),"Yuqori risk","Past risk")</f>
        <v>Yuqori risk</v>
      </c>
      <c r="Q5" s="18" t="str">
        <f>IF(OR(D5="M1",D5="M2"),"Asosiy liniya","Yordamchi")</f>
        <v>Asosiy liniya</v>
      </c>
      <c r="R5" s="18" t="str">
        <f>IF(OR(C5&gt;5,I5="Past"),"Muammo","OK")</f>
        <v>Muammo</v>
      </c>
      <c r="S5" s="18" t="str">
        <f>IF(OR(J5="Yo‘q",K5="Ha"),"Tekshirilsin","Normal")</f>
        <v>Tekshirilsin</v>
      </c>
      <c r="T5" s="18" t="str">
        <f>IF(F5&lt;&gt;"Active","To‘xtagan","Ishlayapti")</f>
        <v>To‘xtagan</v>
      </c>
      <c r="U5" s="18" t="str">
        <f>IF(OR(B5&gt;100,C5&gt;5),"Yuqori risk","Past risk")</f>
        <v>Yuqori risk</v>
      </c>
      <c r="V5" s="18" t="str">
        <f>IF(OR(D5="M1",D5="M2"),"Asosiy liniya","Yordamchi")</f>
        <v>Asosiy liniya</v>
      </c>
      <c r="W5" s="18" t="str">
        <f>IF(OR(C5&gt;5,I5="Past"),"Muammo","OK")</f>
        <v>Muammo</v>
      </c>
      <c r="X5" s="18" t="str">
        <f>IF(OR(J5="Yo‘q",K5="Ha"),"Tekshirilsin","Normal")</f>
        <v>Tekshirilsin</v>
      </c>
      <c r="Y5" s="18" t="str">
        <f>IF(F5&lt;&gt;"Active","To‘xtagan","Ishlayapti")</f>
        <v>To‘xtagan</v>
      </c>
      <c r="Z5" s="18" t="str">
        <f>IF(OR(B5&gt;100,C5&gt;5),"Yuqori risk","Past risk")</f>
        <v>Yuqori risk</v>
      </c>
      <c r="AA5" s="18" t="str">
        <f>IF(OR(D5="M1",D5="M2"),"Asosiy liniya","Yordamchi")</f>
        <v>Asosiy liniya</v>
      </c>
      <c r="AB5" s="18" t="str">
        <f>IF(OR(C5&gt;5,I5="Past"),"Muammo","OK")</f>
        <v>Muammo</v>
      </c>
      <c r="AC5" s="18" t="str">
        <f>IF(OR(J5="Yo‘q",K5="Ha"),"Tekshirilsin","Normal")</f>
        <v>Tekshirilsin</v>
      </c>
      <c r="AD5" s="18" t="str">
        <f>IF(F5&lt;&gt;"Active","To‘xtagan","Ishlayapti")</f>
        <v>To‘xtagan</v>
      </c>
      <c r="AE5" s="18" t="str">
        <f>IF(OR(B5&gt;100,C5&gt;5),"Yuqori risk","Past risk")</f>
        <v>Yuqori risk</v>
      </c>
      <c r="AF5" s="18" t="str">
        <f>IF(OR(D5="M1",D5="M2"),"Asosiy liniya","Yordamchi")</f>
        <v>Asosiy liniya</v>
      </c>
      <c r="AG5" s="18" t="str">
        <f>IF(OR(C5&gt;5,I5="Past"),"Muammo","OK")</f>
        <v>Muammo</v>
      </c>
      <c r="AH5" s="18" t="str">
        <f>IF(OR(J5="Yo‘q",K5="Ha"),"Tekshirilsin","Normal")</f>
        <v>Tekshirilsin</v>
      </c>
      <c r="AI5" s="18" t="str">
        <f>IF(F5&lt;&gt;"Active","To‘xtagan","Ishlayapti")</f>
        <v>To‘xtagan</v>
      </c>
      <c r="AJ5" s="18" t="str">
        <f>IF(OR(B5&gt;100,C5&gt;5),"Yuqori risk","Past risk")</f>
        <v>Yuqori risk</v>
      </c>
      <c r="AK5" s="18" t="str">
        <f>IF(OR(D5="M1",D5="M2"),"Asosiy liniya","Yordamchi")</f>
        <v>Asosiy liniya</v>
      </c>
      <c r="AL5" s="18" t="str">
        <f>IF(OR(C5&gt;5,I5="Past"),"Muammo","OK")</f>
        <v>Muammo</v>
      </c>
      <c r="AM5" s="18" t="str">
        <f>IF(OR(J5="Yo‘q",K5="Ha"),"Tekshirilsin","Normal")</f>
        <v>Tekshirilsin</v>
      </c>
      <c r="AN5" s="18" t="str">
        <f>IF(F5&lt;&gt;"Active","To‘xtagan","Ishlayapti")</f>
        <v>To‘xtagan</v>
      </c>
      <c r="AO5" s="18" t="str">
        <f>IF(OR(B5&gt;100,C5&gt;5),"Yuqori risk","Past risk")</f>
        <v>Yuqori risk</v>
      </c>
      <c r="AP5" s="18" t="str">
        <f>IF(OR(D5="M1",D5="M2"),"Asosiy liniya","Yordamchi")</f>
        <v>Asosiy liniya</v>
      </c>
    </row>
    <row r="6" spans="1:42">
      <c r="A6" s="13" t="s">
        <v>67</v>
      </c>
      <c r="B6" s="13">
        <v>150</v>
      </c>
      <c r="C6" s="13">
        <v>0</v>
      </c>
      <c r="D6" s="13" t="s">
        <v>52</v>
      </c>
      <c r="E6" s="13" t="s">
        <v>44</v>
      </c>
      <c r="F6" s="13" t="s">
        <v>45</v>
      </c>
      <c r="G6" s="13" t="s">
        <v>68</v>
      </c>
      <c r="H6" s="13">
        <v>350000</v>
      </c>
      <c r="I6" s="13" t="s">
        <v>55</v>
      </c>
      <c r="J6" s="13" t="s">
        <v>48</v>
      </c>
      <c r="K6" s="13" t="s">
        <v>56</v>
      </c>
      <c r="L6" s="13" t="s">
        <v>57</v>
      </c>
      <c r="M6" s="18" t="str">
        <f>IF(OR(C6&gt;5,I6="Past"),"Muammo","OK")</f>
        <v>OK</v>
      </c>
      <c r="N6" s="18" t="str">
        <f>IF(OR(J6="Yo‘q",K6="Ha"),"Tekshirilsin","Normal")</f>
        <v>Normal</v>
      </c>
      <c r="O6" s="18" t="str">
        <f>IF(F6&lt;&gt;"Active","To‘xtagan","Ishlayapti")</f>
        <v>Ishlayapti</v>
      </c>
      <c r="P6" s="18" t="str">
        <f>IF(OR(B6&gt;100,C6&gt;5),"Yuqori risk","Past risk")</f>
        <v>Yuqori risk</v>
      </c>
      <c r="Q6" s="18" t="str">
        <f>IF(OR(D6="M1",D6="M2"),"Asosiy liniya","Yordamchi")</f>
        <v>Asosiy liniya</v>
      </c>
      <c r="R6" s="18" t="str">
        <f>IF(OR(C6&gt;5,I6="Past"),"Muammo","OK")</f>
        <v>OK</v>
      </c>
      <c r="S6" s="18" t="str">
        <f>IF(OR(J6="Yo‘q",K6="Ha"),"Tekshirilsin","Normal")</f>
        <v>Normal</v>
      </c>
      <c r="T6" s="18" t="str">
        <f>IF(F6&lt;&gt;"Active","To‘xtagan","Ishlayapti")</f>
        <v>Ishlayapti</v>
      </c>
      <c r="U6" s="18" t="str">
        <f>IF(OR(B6&gt;100,C6&gt;5),"Yuqori risk","Past risk")</f>
        <v>Yuqori risk</v>
      </c>
      <c r="V6" s="18" t="str">
        <f>IF(OR(D6="M1",D6="M2"),"Asosiy liniya","Yordamchi")</f>
        <v>Asosiy liniya</v>
      </c>
      <c r="W6" s="18" t="str">
        <f>IF(OR(C6&gt;5,I6="Past"),"Muammo","OK")</f>
        <v>OK</v>
      </c>
      <c r="X6" s="18" t="str">
        <f>IF(OR(J6="Yo‘q",K6="Ha"),"Tekshirilsin","Normal")</f>
        <v>Normal</v>
      </c>
      <c r="Y6" s="18" t="str">
        <f>IF(F6&lt;&gt;"Active","To‘xtagan","Ishlayapti")</f>
        <v>Ishlayapti</v>
      </c>
      <c r="Z6" s="18" t="str">
        <f>IF(OR(B6&gt;100,C6&gt;5),"Yuqori risk","Past risk")</f>
        <v>Yuqori risk</v>
      </c>
      <c r="AA6" s="18" t="str">
        <f>IF(OR(D6="M1",D6="M2"),"Asosiy liniya","Yordamchi")</f>
        <v>Asosiy liniya</v>
      </c>
      <c r="AB6" s="18" t="str">
        <f>IF(OR(C6&gt;5,I6="Past"),"Muammo","OK")</f>
        <v>OK</v>
      </c>
      <c r="AC6" s="18" t="str">
        <f>IF(OR(J6="Yo‘q",K6="Ha"),"Tekshirilsin","Normal")</f>
        <v>Normal</v>
      </c>
      <c r="AD6" s="18" t="str">
        <f>IF(F6&lt;&gt;"Active","To‘xtagan","Ishlayapti")</f>
        <v>Ishlayapti</v>
      </c>
      <c r="AE6" s="18" t="str">
        <f>IF(OR(B6&gt;100,C6&gt;5),"Yuqori risk","Past risk")</f>
        <v>Yuqori risk</v>
      </c>
      <c r="AF6" s="18" t="str">
        <f>IF(OR(D6="M1",D6="M2"),"Asosiy liniya","Yordamchi")</f>
        <v>Asosiy liniya</v>
      </c>
      <c r="AG6" s="18" t="str">
        <f>IF(OR(C6&gt;5,I6="Past"),"Muammo","OK")</f>
        <v>OK</v>
      </c>
      <c r="AH6" s="18" t="str">
        <f>IF(OR(J6="Yo‘q",K6="Ha"),"Tekshirilsin","Normal")</f>
        <v>Normal</v>
      </c>
      <c r="AI6" s="18" t="str">
        <f>IF(F6&lt;&gt;"Active","To‘xtagan","Ishlayapti")</f>
        <v>Ishlayapti</v>
      </c>
      <c r="AJ6" s="18" t="str">
        <f>IF(OR(B6&gt;100,C6&gt;5),"Yuqori risk","Past risk")</f>
        <v>Yuqori risk</v>
      </c>
      <c r="AK6" s="18" t="str">
        <f>IF(OR(D6="M1",D6="M2"),"Asosiy liniya","Yordamchi")</f>
        <v>Asosiy liniya</v>
      </c>
      <c r="AL6" s="18" t="str">
        <f>IF(OR(C6&gt;5,I6="Past"),"Muammo","OK")</f>
        <v>OK</v>
      </c>
      <c r="AM6" s="18" t="str">
        <f>IF(OR(J6="Yo‘q",K6="Ha"),"Tekshirilsin","Normal")</f>
        <v>Normal</v>
      </c>
      <c r="AN6" s="18" t="str">
        <f>IF(F6&lt;&gt;"Active","To‘xtagan","Ishlayapti")</f>
        <v>Ishlayapti</v>
      </c>
      <c r="AO6" s="18" t="str">
        <f>IF(OR(B6&gt;100,C6&gt;5),"Yuqori risk","Past risk")</f>
        <v>Yuqori risk</v>
      </c>
      <c r="AP6" s="18" t="str">
        <f>IF(OR(D6="M1",D6="M2"),"Asosiy liniya","Yordamchi")</f>
        <v>Asosiy liniya</v>
      </c>
    </row>
    <row r="7" spans="1:42">
      <c r="A7" s="13" t="s">
        <v>69</v>
      </c>
      <c r="B7" s="13">
        <v>90</v>
      </c>
      <c r="C7" s="13">
        <v>3</v>
      </c>
      <c r="D7" s="13" t="s">
        <v>59</v>
      </c>
      <c r="E7" s="13" t="s">
        <v>53</v>
      </c>
      <c r="F7" s="13" t="s">
        <v>45</v>
      </c>
      <c r="G7" s="13" t="s">
        <v>70</v>
      </c>
      <c r="H7" s="13">
        <v>250000</v>
      </c>
      <c r="I7" s="13" t="s">
        <v>47</v>
      </c>
      <c r="J7" s="13" t="s">
        <v>56</v>
      </c>
      <c r="K7" s="13" t="s">
        <v>49</v>
      </c>
      <c r="L7" s="13" t="s">
        <v>50</v>
      </c>
      <c r="M7" s="18" t="str">
        <f>IF(OR(C7&gt;5,I7="Past"),"Muammo","OK")</f>
        <v>OK</v>
      </c>
      <c r="N7" s="18" t="str">
        <f>IF(OR(J7="Yo‘q",K7="Ha"),"Tekshirilsin","Normal")</f>
        <v>Tekshirilsin</v>
      </c>
      <c r="O7" s="18" t="str">
        <f>IF(F7&lt;&gt;"Active","To‘xtagan","Ishlayapti")</f>
        <v>Ishlayapti</v>
      </c>
      <c r="P7" s="18" t="str">
        <f>IF(OR(B7&gt;100,C7&gt;5),"Yuqori risk","Past risk")</f>
        <v>Past risk</v>
      </c>
      <c r="Q7" s="18" t="str">
        <f>IF(OR(D7="M1",D7="M2"),"Asosiy liniya","Yordamchi")</f>
        <v>Yordamchi</v>
      </c>
      <c r="R7" s="18" t="str">
        <f>IF(OR(C7&gt;5,I7="Past"),"Muammo","OK")</f>
        <v>OK</v>
      </c>
      <c r="S7" s="18" t="str">
        <f>IF(OR(J7="Yo‘q",K7="Ha"),"Tekshirilsin","Normal")</f>
        <v>Tekshirilsin</v>
      </c>
      <c r="T7" s="18" t="str">
        <f>IF(F7&lt;&gt;"Active","To‘xtagan","Ishlayapti")</f>
        <v>Ishlayapti</v>
      </c>
      <c r="U7" s="18" t="str">
        <f>IF(OR(B7&gt;100,C7&gt;5),"Yuqori risk","Past risk")</f>
        <v>Past risk</v>
      </c>
      <c r="V7" s="18" t="str">
        <f>IF(OR(D7="M1",D7="M2"),"Asosiy liniya","Yordamchi")</f>
        <v>Yordamchi</v>
      </c>
      <c r="W7" s="18" t="str">
        <f>IF(OR(C7&gt;5,I7="Past"),"Muammo","OK")</f>
        <v>OK</v>
      </c>
      <c r="X7" s="18" t="str">
        <f>IF(OR(J7="Yo‘q",K7="Ha"),"Tekshirilsin","Normal")</f>
        <v>Tekshirilsin</v>
      </c>
      <c r="Y7" s="18" t="str">
        <f>IF(F7&lt;&gt;"Active","To‘xtagan","Ishlayapti")</f>
        <v>Ishlayapti</v>
      </c>
      <c r="Z7" s="18" t="str">
        <f>IF(OR(B7&gt;100,C7&gt;5),"Yuqori risk","Past risk")</f>
        <v>Past risk</v>
      </c>
      <c r="AA7" s="18" t="str">
        <f>IF(OR(D7="M1",D7="M2"),"Asosiy liniya","Yordamchi")</f>
        <v>Yordamchi</v>
      </c>
      <c r="AB7" s="18" t="str">
        <f>IF(OR(C7&gt;5,I7="Past"),"Muammo","OK")</f>
        <v>OK</v>
      </c>
      <c r="AC7" s="18" t="str">
        <f>IF(OR(J7="Yo‘q",K7="Ha"),"Tekshirilsin","Normal")</f>
        <v>Tekshirilsin</v>
      </c>
      <c r="AD7" s="18" t="str">
        <f>IF(F7&lt;&gt;"Active","To‘xtagan","Ishlayapti")</f>
        <v>Ishlayapti</v>
      </c>
      <c r="AE7" s="18" t="str">
        <f>IF(OR(B7&gt;100,C7&gt;5),"Yuqori risk","Past risk")</f>
        <v>Past risk</v>
      </c>
      <c r="AF7" s="18" t="str">
        <f>IF(OR(D7="M1",D7="M2"),"Asosiy liniya","Yordamchi")</f>
        <v>Yordamchi</v>
      </c>
      <c r="AG7" s="18" t="str">
        <f>IF(OR(C7&gt;5,I7="Past"),"Muammo","OK")</f>
        <v>OK</v>
      </c>
      <c r="AH7" s="18" t="str">
        <f>IF(OR(J7="Yo‘q",K7="Ha"),"Tekshirilsin","Normal")</f>
        <v>Tekshirilsin</v>
      </c>
      <c r="AI7" s="18" t="str">
        <f>IF(F7&lt;&gt;"Active","To‘xtagan","Ishlayapti")</f>
        <v>Ishlayapti</v>
      </c>
      <c r="AJ7" s="18" t="str">
        <f>IF(OR(B7&gt;100,C7&gt;5),"Yuqori risk","Past risk")</f>
        <v>Past risk</v>
      </c>
      <c r="AK7" s="18" t="str">
        <f>IF(OR(D7="M1",D7="M2"),"Asosiy liniya","Yordamchi")</f>
        <v>Yordamchi</v>
      </c>
      <c r="AL7" s="18" t="str">
        <f>IF(OR(C7&gt;5,I7="Past"),"Muammo","OK")</f>
        <v>OK</v>
      </c>
      <c r="AM7" s="18" t="str">
        <f>IF(OR(J7="Yo‘q",K7="Ha"),"Tekshirilsin","Normal")</f>
        <v>Tekshirilsin</v>
      </c>
      <c r="AN7" s="18" t="str">
        <f>IF(F7&lt;&gt;"Active","To‘xtagan","Ishlayapti")</f>
        <v>Ishlayapti</v>
      </c>
      <c r="AO7" s="18" t="str">
        <f>IF(OR(B7&gt;100,C7&gt;5),"Yuqori risk","Past risk")</f>
        <v>Past risk</v>
      </c>
      <c r="AP7" s="18" t="str">
        <f>IF(OR(D7="M1",D7="M2"),"Asosiy liniya","Yordamchi")</f>
        <v>Yordamchi</v>
      </c>
    </row>
    <row r="8" spans="1:42">
      <c r="A8" s="13" t="s">
        <v>71</v>
      </c>
      <c r="B8" s="13">
        <v>40</v>
      </c>
      <c r="C8" s="13">
        <v>6</v>
      </c>
      <c r="D8" s="13" t="s">
        <v>43</v>
      </c>
      <c r="E8" s="13" t="s">
        <v>44</v>
      </c>
      <c r="F8" s="13" t="s">
        <v>64</v>
      </c>
      <c r="G8" s="13" t="s">
        <v>72</v>
      </c>
      <c r="H8" s="13">
        <v>450000</v>
      </c>
      <c r="I8" s="13" t="s">
        <v>61</v>
      </c>
      <c r="J8" s="13" t="s">
        <v>48</v>
      </c>
      <c r="K8" s="13" t="s">
        <v>49</v>
      </c>
      <c r="L8" s="13" t="s">
        <v>62</v>
      </c>
      <c r="M8" s="18" t="str">
        <f>IF(OR(C8&gt;5,I8="Past"),"Muammo","OK")</f>
        <v>Muammo</v>
      </c>
      <c r="N8" s="18" t="str">
        <f>IF(OR(J8="Yo‘q",K8="Ha"),"Tekshirilsin","Normal")</f>
        <v>Tekshirilsin</v>
      </c>
      <c r="O8" s="18" t="str">
        <f>IF(F8&lt;&gt;"Active","To‘xtagan","Ishlayapti")</f>
        <v>To‘xtagan</v>
      </c>
      <c r="P8" s="18" t="str">
        <f>IF(OR(B8&gt;100,C8&gt;5),"Yuqori risk","Past risk")</f>
        <v>Yuqori risk</v>
      </c>
      <c r="Q8" s="18" t="str">
        <f>IF(OR(D8="M1",D8="M2"),"Asosiy liniya","Yordamchi")</f>
        <v>Asosiy liniya</v>
      </c>
      <c r="R8" s="18" t="str">
        <f>IF(OR(C8&gt;5,I8="Past"),"Muammo","OK")</f>
        <v>Muammo</v>
      </c>
      <c r="S8" s="18" t="str">
        <f>IF(OR(J8="Yo‘q",K8="Ha"),"Tekshirilsin","Normal")</f>
        <v>Tekshirilsin</v>
      </c>
      <c r="T8" s="18" t="str">
        <f>IF(F8&lt;&gt;"Active","To‘xtagan","Ishlayapti")</f>
        <v>To‘xtagan</v>
      </c>
      <c r="U8" s="18" t="str">
        <f>IF(OR(B8&gt;100,C8&gt;5),"Yuqori risk","Past risk")</f>
        <v>Yuqori risk</v>
      </c>
      <c r="V8" s="18" t="str">
        <f>IF(OR(D8="M1",D8="M2"),"Asosiy liniya","Yordamchi")</f>
        <v>Asosiy liniya</v>
      </c>
      <c r="W8" s="18" t="str">
        <f>IF(OR(C8&gt;5,I8="Past"),"Muammo","OK")</f>
        <v>Muammo</v>
      </c>
      <c r="X8" s="18" t="str">
        <f>IF(OR(J8="Yo‘q",K8="Ha"),"Tekshirilsin","Normal")</f>
        <v>Tekshirilsin</v>
      </c>
      <c r="Y8" s="18" t="str">
        <f>IF(F8&lt;&gt;"Active","To‘xtagan","Ishlayapti")</f>
        <v>To‘xtagan</v>
      </c>
      <c r="Z8" s="18" t="str">
        <f>IF(OR(B8&gt;100,C8&gt;5),"Yuqori risk","Past risk")</f>
        <v>Yuqori risk</v>
      </c>
      <c r="AA8" s="18" t="str">
        <f>IF(OR(D8="M1",D8="M2"),"Asosiy liniya","Yordamchi")</f>
        <v>Asosiy liniya</v>
      </c>
      <c r="AB8" s="18" t="str">
        <f>IF(OR(C8&gt;5,I8="Past"),"Muammo","OK")</f>
        <v>Muammo</v>
      </c>
      <c r="AC8" s="18" t="str">
        <f>IF(OR(J8="Yo‘q",K8="Ha"),"Tekshirilsin","Normal")</f>
        <v>Tekshirilsin</v>
      </c>
      <c r="AD8" s="18" t="str">
        <f>IF(F8&lt;&gt;"Active","To‘xtagan","Ishlayapti")</f>
        <v>To‘xtagan</v>
      </c>
      <c r="AE8" s="18" t="str">
        <f>IF(OR(B8&gt;100,C8&gt;5),"Yuqori risk","Past risk")</f>
        <v>Yuqori risk</v>
      </c>
      <c r="AF8" s="18" t="str">
        <f>IF(OR(D8="M1",D8="M2"),"Asosiy liniya","Yordamchi")</f>
        <v>Asosiy liniya</v>
      </c>
      <c r="AG8" s="18" t="str">
        <f>IF(OR(C8&gt;5,I8="Past"),"Muammo","OK")</f>
        <v>Muammo</v>
      </c>
      <c r="AH8" s="18" t="str">
        <f>IF(OR(J8="Yo‘q",K8="Ha"),"Tekshirilsin","Normal")</f>
        <v>Tekshirilsin</v>
      </c>
      <c r="AI8" s="18" t="str">
        <f>IF(F8&lt;&gt;"Active","To‘xtagan","Ishlayapti")</f>
        <v>To‘xtagan</v>
      </c>
      <c r="AJ8" s="18" t="str">
        <f>IF(OR(B8&gt;100,C8&gt;5),"Yuqori risk","Past risk")</f>
        <v>Yuqori risk</v>
      </c>
      <c r="AK8" s="18" t="str">
        <f>IF(OR(D8="M1",D8="M2"),"Asosiy liniya","Yordamchi")</f>
        <v>Asosiy liniya</v>
      </c>
      <c r="AL8" s="18" t="str">
        <f>IF(OR(C8&gt;5,I8="Past"),"Muammo","OK")</f>
        <v>Muammo</v>
      </c>
      <c r="AM8" s="18" t="str">
        <f>IF(OR(J8="Yo‘q",K8="Ha"),"Tekshirilsin","Normal")</f>
        <v>Tekshirilsin</v>
      </c>
      <c r="AN8" s="18" t="str">
        <f>IF(F8&lt;&gt;"Active","To‘xtagan","Ishlayapti")</f>
        <v>To‘xtagan</v>
      </c>
      <c r="AO8" s="18" t="str">
        <f>IF(OR(B8&gt;100,C8&gt;5),"Yuqori risk","Past risk")</f>
        <v>Yuqori risk</v>
      </c>
      <c r="AP8" s="18" t="str">
        <f>IF(OR(D8="M1",D8="M2"),"Asosiy liniya","Yordamchi")</f>
        <v>Asosiy liniya</v>
      </c>
    </row>
    <row r="9" spans="1:42">
      <c r="A9" s="13" t="s">
        <v>73</v>
      </c>
      <c r="B9" s="13">
        <v>110</v>
      </c>
      <c r="C9" s="13">
        <v>1</v>
      </c>
      <c r="D9" s="13" t="s">
        <v>52</v>
      </c>
      <c r="E9" s="13" t="s">
        <v>53</v>
      </c>
      <c r="F9" s="13" t="s">
        <v>45</v>
      </c>
      <c r="G9" s="13" t="s">
        <v>74</v>
      </c>
      <c r="H9" s="13">
        <v>600000</v>
      </c>
      <c r="I9" s="13" t="s">
        <v>55</v>
      </c>
      <c r="J9" s="13" t="s">
        <v>48</v>
      </c>
      <c r="K9" s="13" t="s">
        <v>56</v>
      </c>
      <c r="L9" s="13" t="s">
        <v>57</v>
      </c>
      <c r="M9" s="18" t="str">
        <f>IF(OR(C9&gt;5,I9="Past"),"Muammo","OK")</f>
        <v>OK</v>
      </c>
      <c r="N9" s="18" t="str">
        <f>IF(OR(J9="Yo‘q",K9="Ha"),"Tekshirilsin","Normal")</f>
        <v>Normal</v>
      </c>
      <c r="O9" s="18" t="str">
        <f>IF(F9&lt;&gt;"Active","To‘xtagan","Ishlayapti")</f>
        <v>Ishlayapti</v>
      </c>
      <c r="P9" s="18" t="str">
        <f>IF(OR(B9&gt;100,C9&gt;5),"Yuqori risk","Past risk")</f>
        <v>Yuqori risk</v>
      </c>
      <c r="Q9" s="18" t="str">
        <f>IF(OR(D9="M1",D9="M2"),"Asosiy liniya","Yordamchi")</f>
        <v>Asosiy liniya</v>
      </c>
      <c r="R9" s="18" t="str">
        <f>IF(OR(C9&gt;5,I9="Past"),"Muammo","OK")</f>
        <v>OK</v>
      </c>
      <c r="S9" s="18" t="str">
        <f>IF(OR(J9="Yo‘q",K9="Ha"),"Tekshirilsin","Normal")</f>
        <v>Normal</v>
      </c>
      <c r="T9" s="18" t="str">
        <f>IF(F9&lt;&gt;"Active","To‘xtagan","Ishlayapti")</f>
        <v>Ishlayapti</v>
      </c>
      <c r="U9" s="18" t="str">
        <f>IF(OR(B9&gt;100,C9&gt;5),"Yuqori risk","Past risk")</f>
        <v>Yuqori risk</v>
      </c>
      <c r="V9" s="18" t="str">
        <f>IF(OR(D9="M1",D9="M2"),"Asosiy liniya","Yordamchi")</f>
        <v>Asosiy liniya</v>
      </c>
      <c r="W9" s="18" t="str">
        <f>IF(OR(C9&gt;5,I9="Past"),"Muammo","OK")</f>
        <v>OK</v>
      </c>
      <c r="X9" s="18" t="str">
        <f>IF(OR(J9="Yo‘q",K9="Ha"),"Tekshirilsin","Normal")</f>
        <v>Normal</v>
      </c>
      <c r="Y9" s="18" t="str">
        <f>IF(F9&lt;&gt;"Active","To‘xtagan","Ishlayapti")</f>
        <v>Ishlayapti</v>
      </c>
      <c r="Z9" s="18" t="str">
        <f>IF(OR(B9&gt;100,C9&gt;5),"Yuqori risk","Past risk")</f>
        <v>Yuqori risk</v>
      </c>
      <c r="AA9" s="18" t="str">
        <f>IF(OR(D9="M1",D9="M2"),"Asosiy liniya","Yordamchi")</f>
        <v>Asosiy liniya</v>
      </c>
      <c r="AB9" s="18" t="str">
        <f>IF(OR(C9&gt;5,I9="Past"),"Muammo","OK")</f>
        <v>OK</v>
      </c>
      <c r="AC9" s="18" t="str">
        <f>IF(OR(J9="Yo‘q",K9="Ha"),"Tekshirilsin","Normal")</f>
        <v>Normal</v>
      </c>
      <c r="AD9" s="18" t="str">
        <f>IF(F9&lt;&gt;"Active","To‘xtagan","Ishlayapti")</f>
        <v>Ishlayapti</v>
      </c>
      <c r="AE9" s="18" t="str">
        <f>IF(OR(B9&gt;100,C9&gt;5),"Yuqori risk","Past risk")</f>
        <v>Yuqori risk</v>
      </c>
      <c r="AF9" s="18" t="str">
        <f>IF(OR(D9="M1",D9="M2"),"Asosiy liniya","Yordamchi")</f>
        <v>Asosiy liniya</v>
      </c>
      <c r="AG9" s="18" t="str">
        <f>IF(OR(C9&gt;5,I9="Past"),"Muammo","OK")</f>
        <v>OK</v>
      </c>
      <c r="AH9" s="18" t="str">
        <f>IF(OR(J9="Yo‘q",K9="Ha"),"Tekshirilsin","Normal")</f>
        <v>Normal</v>
      </c>
      <c r="AI9" s="18" t="str">
        <f>IF(F9&lt;&gt;"Active","To‘xtagan","Ishlayapti")</f>
        <v>Ishlayapti</v>
      </c>
      <c r="AJ9" s="18" t="str">
        <f>IF(OR(B9&gt;100,C9&gt;5),"Yuqori risk","Past risk")</f>
        <v>Yuqori risk</v>
      </c>
      <c r="AK9" s="18" t="str">
        <f>IF(OR(D9="M1",D9="M2"),"Asosiy liniya","Yordamchi")</f>
        <v>Asosiy liniya</v>
      </c>
      <c r="AL9" s="18" t="str">
        <f>IF(OR(C9&gt;5,I9="Past"),"Muammo","OK")</f>
        <v>OK</v>
      </c>
      <c r="AM9" s="18" t="str">
        <f>IF(OR(J9="Yo‘q",K9="Ha"),"Tekshirilsin","Normal")</f>
        <v>Normal</v>
      </c>
      <c r="AN9" s="18" t="str">
        <f>IF(F9&lt;&gt;"Active","To‘xtagan","Ishlayapti")</f>
        <v>Ishlayapti</v>
      </c>
      <c r="AO9" s="18" t="str">
        <f>IF(OR(B9&gt;100,C9&gt;5),"Yuqori risk","Past risk")</f>
        <v>Yuqori risk</v>
      </c>
      <c r="AP9" s="18" t="str">
        <f>IF(OR(D9="M1",D9="M2"),"Asosiy liniya","Yordamchi")</f>
        <v>Asosiy liniya</v>
      </c>
    </row>
    <row r="10" spans="1:42">
      <c r="A10" s="13" t="s">
        <v>75</v>
      </c>
      <c r="B10" s="13">
        <v>70</v>
      </c>
      <c r="C10" s="13">
        <v>4</v>
      </c>
      <c r="D10" s="13" t="s">
        <v>59</v>
      </c>
      <c r="E10" s="13" t="s">
        <v>44</v>
      </c>
      <c r="F10" s="13" t="s">
        <v>45</v>
      </c>
      <c r="G10" s="13" t="s">
        <v>76</v>
      </c>
      <c r="H10" s="13">
        <v>550000</v>
      </c>
      <c r="I10" s="13" t="s">
        <v>47</v>
      </c>
      <c r="J10" s="13" t="s">
        <v>48</v>
      </c>
      <c r="K10" s="13" t="s">
        <v>49</v>
      </c>
      <c r="L10" s="13" t="s">
        <v>50</v>
      </c>
      <c r="M10" s="18" t="str">
        <f>IF(OR(C10&gt;5,I10="Past"),"Muammo","OK")</f>
        <v>OK</v>
      </c>
      <c r="N10" s="18" t="str">
        <f>IF(OR(J10="Yo‘q",K10="Ha"),"Tekshirilsin","Normal")</f>
        <v>Tekshirilsin</v>
      </c>
      <c r="O10" s="18" t="str">
        <f>IF(F10&lt;&gt;"Active","To‘xtagan","Ishlayapti")</f>
        <v>Ishlayapti</v>
      </c>
      <c r="P10" s="18" t="str">
        <f>IF(OR(B10&gt;100,C10&gt;5),"Yuqori risk","Past risk")</f>
        <v>Past risk</v>
      </c>
      <c r="Q10" s="18" t="str">
        <f>IF(OR(D10="M1",D10="M2"),"Asosiy liniya","Yordamchi")</f>
        <v>Yordamchi</v>
      </c>
      <c r="R10" s="18" t="str">
        <f>IF(OR(C10&gt;5,I10="Past"),"Muammo","OK")</f>
        <v>OK</v>
      </c>
      <c r="S10" s="18" t="str">
        <f>IF(OR(J10="Yo‘q",K10="Ha"),"Tekshirilsin","Normal")</f>
        <v>Tekshirilsin</v>
      </c>
      <c r="T10" s="18" t="str">
        <f>IF(F10&lt;&gt;"Active","To‘xtagan","Ishlayapti")</f>
        <v>Ishlayapti</v>
      </c>
      <c r="U10" s="18" t="str">
        <f>IF(OR(B10&gt;100,C10&gt;5),"Yuqori risk","Past risk")</f>
        <v>Past risk</v>
      </c>
      <c r="V10" s="18" t="str">
        <f>IF(OR(D10="M1",D10="M2"),"Asosiy liniya","Yordamchi")</f>
        <v>Yordamchi</v>
      </c>
      <c r="W10" s="18" t="str">
        <f>IF(OR(C10&gt;5,I10="Past"),"Muammo","OK")</f>
        <v>OK</v>
      </c>
      <c r="X10" s="18" t="str">
        <f>IF(OR(J10="Yo‘q",K10="Ha"),"Tekshirilsin","Normal")</f>
        <v>Tekshirilsin</v>
      </c>
      <c r="Y10" s="18" t="str">
        <f>IF(F10&lt;&gt;"Active","To‘xtagan","Ishlayapti")</f>
        <v>Ishlayapti</v>
      </c>
      <c r="Z10" s="18" t="str">
        <f>IF(OR(B10&gt;100,C10&gt;5),"Yuqori risk","Past risk")</f>
        <v>Past risk</v>
      </c>
      <c r="AA10" s="18" t="str">
        <f>IF(OR(D10="M1",D10="M2"),"Asosiy liniya","Yordamchi")</f>
        <v>Yordamchi</v>
      </c>
      <c r="AB10" s="18" t="str">
        <f>IF(OR(C10&gt;5,I10="Past"),"Muammo","OK")</f>
        <v>OK</v>
      </c>
      <c r="AC10" s="18" t="str">
        <f>IF(OR(J10="Yo‘q",K10="Ha"),"Tekshirilsin","Normal")</f>
        <v>Tekshirilsin</v>
      </c>
      <c r="AD10" s="18" t="str">
        <f>IF(F10&lt;&gt;"Active","To‘xtagan","Ishlayapti")</f>
        <v>Ishlayapti</v>
      </c>
      <c r="AE10" s="18" t="str">
        <f>IF(OR(B10&gt;100,C10&gt;5),"Yuqori risk","Past risk")</f>
        <v>Past risk</v>
      </c>
      <c r="AF10" s="18" t="str">
        <f>IF(OR(D10="M1",D10="M2"),"Asosiy liniya","Yordamchi")</f>
        <v>Yordamchi</v>
      </c>
      <c r="AG10" s="18" t="str">
        <f>IF(OR(C10&gt;5,I10="Past"),"Muammo","OK")</f>
        <v>OK</v>
      </c>
      <c r="AH10" s="18" t="str">
        <f>IF(OR(J10="Yo‘q",K10="Ha"),"Tekshirilsin","Normal")</f>
        <v>Tekshirilsin</v>
      </c>
      <c r="AI10" s="18" t="str">
        <f>IF(F10&lt;&gt;"Active","To‘xtagan","Ishlayapti")</f>
        <v>Ishlayapti</v>
      </c>
      <c r="AJ10" s="18" t="str">
        <f>IF(OR(B10&gt;100,C10&gt;5),"Yuqori risk","Past risk")</f>
        <v>Past risk</v>
      </c>
      <c r="AK10" s="18" t="str">
        <f>IF(OR(D10="M1",D10="M2"),"Asosiy liniya","Yordamchi")</f>
        <v>Yordamchi</v>
      </c>
      <c r="AL10" s="18" t="str">
        <f>IF(OR(C10&gt;5,I10="Past"),"Muammo","OK")</f>
        <v>OK</v>
      </c>
      <c r="AM10" s="18" t="str">
        <f>IF(OR(J10="Yo‘q",K10="Ha"),"Tekshirilsin","Normal")</f>
        <v>Tekshirilsin</v>
      </c>
      <c r="AN10" s="18" t="str">
        <f>IF(F10&lt;&gt;"Active","To‘xtagan","Ishlayapti")</f>
        <v>Ishlayapti</v>
      </c>
      <c r="AO10" s="18" t="str">
        <f>IF(OR(B10&gt;100,C10&gt;5),"Yuqori risk","Past risk")</f>
        <v>Past risk</v>
      </c>
      <c r="AP10" s="18" t="str">
        <f>IF(OR(D10="M1",D10="M2"),"Asosiy liniya","Yordamchi")</f>
        <v>Yordamchi</v>
      </c>
    </row>
    <row r="11" spans="1:42">
      <c r="A11" s="14" t="s">
        <v>77</v>
      </c>
      <c r="B11" s="13">
        <v>130</v>
      </c>
      <c r="C11" s="13">
        <v>7</v>
      </c>
      <c r="D11" s="13" t="s">
        <v>43</v>
      </c>
      <c r="E11" s="13" t="s">
        <v>53</v>
      </c>
      <c r="F11" s="13" t="s">
        <v>45</v>
      </c>
      <c r="G11" s="13" t="s">
        <v>78</v>
      </c>
      <c r="H11" s="13">
        <v>650000</v>
      </c>
      <c r="I11" s="13" t="s">
        <v>61</v>
      </c>
      <c r="J11" s="13" t="s">
        <v>56</v>
      </c>
      <c r="K11" s="13" t="s">
        <v>49</v>
      </c>
      <c r="L11" s="13" t="s">
        <v>62</v>
      </c>
      <c r="M11" s="18" t="str">
        <f>IF(OR(C11&gt;5,I11="Past"),"Muammo","OK")</f>
        <v>Muammo</v>
      </c>
      <c r="N11" s="18" t="str">
        <f>IF(OR(J11="Yo‘q",K11="Ha"),"Tekshirilsin","Normal")</f>
        <v>Tekshirilsin</v>
      </c>
      <c r="O11" s="18" t="str">
        <f>IF(F11&lt;&gt;"Active","To‘xtagan","Ishlayapti")</f>
        <v>Ishlayapti</v>
      </c>
      <c r="P11" s="18" t="str">
        <f>IF(OR(B11&gt;100,C11&gt;5),"Yuqori risk","Past risk")</f>
        <v>Yuqori risk</v>
      </c>
      <c r="Q11" s="18" t="str">
        <f>IF(OR(D11="M1",D11="M2"),"Asosiy liniya","Yordamchi")</f>
        <v>Asosiy liniya</v>
      </c>
      <c r="R11" s="18" t="str">
        <f>IF(OR(C11&gt;5,I11="Past"),"Muammo","OK")</f>
        <v>Muammo</v>
      </c>
      <c r="S11" s="18" t="str">
        <f>IF(OR(J11="Yo‘q",K11="Ha"),"Tekshirilsin","Normal")</f>
        <v>Tekshirilsin</v>
      </c>
      <c r="T11" s="18" t="str">
        <f>IF(F11&lt;&gt;"Active","To‘xtagan","Ishlayapti")</f>
        <v>Ishlayapti</v>
      </c>
      <c r="U11" s="18" t="str">
        <f>IF(OR(B11&gt;100,C11&gt;5),"Yuqori risk","Past risk")</f>
        <v>Yuqori risk</v>
      </c>
      <c r="V11" s="18" t="str">
        <f>IF(OR(D11="M1",D11="M2"),"Asosiy liniya","Yordamchi")</f>
        <v>Asosiy liniya</v>
      </c>
      <c r="W11" s="18" t="str">
        <f>IF(OR(C11&gt;5,I11="Past"),"Muammo","OK")</f>
        <v>Muammo</v>
      </c>
      <c r="X11" s="18" t="str">
        <f>IF(OR(J11="Yo‘q",K11="Ha"),"Tekshirilsin","Normal")</f>
        <v>Tekshirilsin</v>
      </c>
      <c r="Y11" s="18" t="str">
        <f>IF(F11&lt;&gt;"Active","To‘xtagan","Ishlayapti")</f>
        <v>Ishlayapti</v>
      </c>
      <c r="Z11" s="18" t="str">
        <f>IF(OR(B11&gt;100,C11&gt;5),"Yuqori risk","Past risk")</f>
        <v>Yuqori risk</v>
      </c>
      <c r="AA11" s="18" t="str">
        <f>IF(OR(D11="M1",D11="M2"),"Asosiy liniya","Yordamchi")</f>
        <v>Asosiy liniya</v>
      </c>
      <c r="AB11" s="18" t="str">
        <f>IF(OR(C11&gt;5,I11="Past"),"Muammo","OK")</f>
        <v>Muammo</v>
      </c>
      <c r="AC11" s="18" t="str">
        <f>IF(OR(J11="Yo‘q",K11="Ha"),"Tekshirilsin","Normal")</f>
        <v>Tekshirilsin</v>
      </c>
      <c r="AD11" s="18" t="str">
        <f>IF(F11&lt;&gt;"Active","To‘xtagan","Ishlayapti")</f>
        <v>Ishlayapti</v>
      </c>
      <c r="AE11" s="18" t="str">
        <f>IF(OR(B11&gt;100,C11&gt;5),"Yuqori risk","Past risk")</f>
        <v>Yuqori risk</v>
      </c>
      <c r="AF11" s="18" t="str">
        <f>IF(OR(D11="M1",D11="M2"),"Asosiy liniya","Yordamchi")</f>
        <v>Asosiy liniya</v>
      </c>
      <c r="AG11" s="18" t="str">
        <f>IF(OR(C11&gt;5,I11="Past"),"Muammo","OK")</f>
        <v>Muammo</v>
      </c>
      <c r="AH11" s="18" t="str">
        <f>IF(OR(J11="Yo‘q",K11="Ha"),"Tekshirilsin","Normal")</f>
        <v>Tekshirilsin</v>
      </c>
      <c r="AI11" s="18" t="str">
        <f>IF(F11&lt;&gt;"Active","To‘xtagan","Ishlayapti")</f>
        <v>Ishlayapti</v>
      </c>
      <c r="AJ11" s="18" t="str">
        <f>IF(OR(B11&gt;100,C11&gt;5),"Yuqori risk","Past risk")</f>
        <v>Yuqori risk</v>
      </c>
      <c r="AK11" s="18" t="str">
        <f>IF(OR(D11="M1",D11="M2"),"Asosiy liniya","Yordamchi")</f>
        <v>Asosiy liniya</v>
      </c>
      <c r="AL11" s="18" t="str">
        <f>IF(OR(C11&gt;5,I11="Past"),"Muammo","OK")</f>
        <v>Muammo</v>
      </c>
      <c r="AM11" s="18" t="str">
        <f>IF(OR(J11="Yo‘q",K11="Ha"),"Tekshirilsin","Normal")</f>
        <v>Tekshirilsin</v>
      </c>
      <c r="AN11" s="18" t="str">
        <f>IF(F11&lt;&gt;"Active","To‘xtagan","Ishlayapti")</f>
        <v>Ishlayapti</v>
      </c>
      <c r="AO11" s="18" t="str">
        <f>IF(OR(B11&gt;100,C11&gt;5),"Yuqori risk","Past risk")</f>
        <v>Yuqori risk</v>
      </c>
      <c r="AP11" s="18" t="str">
        <f>IF(OR(D11="M1",D11="M2"),"Asosiy liniya","Yordamchi")</f>
        <v>Asosiy liniya</v>
      </c>
    </row>
    <row r="12" spans="1:42">
      <c r="A12" s="15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</row>
    <row r="13" spans="1:42">
      <c r="A13" s="15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</row>
    <row r="14" spans="1:42">
      <c r="A14" s="15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</row>
    <row r="15" spans="1:42">
      <c r="A15" s="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</row>
    <row r="16" spans="1:42">
      <c r="A16" s="15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</row>
    <row r="17" spans="1:42">
      <c r="A17" s="15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</row>
    <row r="18" spans="1:42">
      <c r="A18" s="15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</row>
    <row r="19" spans="1:42">
      <c r="A19" s="15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</row>
    <row r="20" spans="1:42">
      <c r="A20" s="15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</row>
    <row r="21" spans="1:42">
      <c r="A21" s="15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</row>
    <row r="22" spans="1:42">
      <c r="A22" s="15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</row>
    <row r="23" spans="1:42">
      <c r="A23" s="15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</row>
    <row r="24" spans="1:42">
      <c r="A24" s="15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</row>
    <row r="25" spans="1:42">
      <c r="A25" s="1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</row>
    <row r="26" spans="1:42">
      <c r="A26" s="15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</row>
    <row r="27" spans="1:42">
      <c r="A27" s="15"/>
      <c r="G27" s="16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</row>
    <row r="28" spans="1:42">
      <c r="A28" s="15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</row>
    <row r="29" spans="1:42">
      <c r="A29" s="15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</row>
    <row r="30" spans="1:42">
      <c r="A30" s="15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</row>
    <row r="31" spans="1:42">
      <c r="A31" s="15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</row>
    <row r="32" spans="1:42">
      <c r="A32" s="15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</row>
    <row r="33" spans="1:42">
      <c r="A33" s="15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</row>
    <row r="34" spans="1:42">
      <c r="A34" s="15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</row>
    <row r="35" spans="1:42">
      <c r="A35" s="1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</row>
    <row r="36" spans="1:42">
      <c r="A36" s="15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</row>
    <row r="37" spans="1:42">
      <c r="A37" s="15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</row>
    <row r="38" spans="1:42">
      <c r="A38" s="15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</row>
    <row r="39" spans="1:42">
      <c r="A39" s="15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</row>
    <row r="40" spans="1:42">
      <c r="A40" s="15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</row>
    <row r="41" spans="1:42">
      <c r="A41" s="15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</row>
    <row r="42" s="11" customFormat="1" spans="13:42"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</row>
    <row r="43" s="11" customFormat="1" spans="13:42"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61"/>
  <sheetViews>
    <sheetView tabSelected="1" topLeftCell="R1" workbookViewId="0">
      <selection activeCell="Y5" sqref="Y5"/>
    </sheetView>
  </sheetViews>
  <sheetFormatPr defaultColWidth="9" defaultRowHeight="14.25"/>
  <cols>
    <col min="1" max="1" width="80.75" customWidth="1"/>
    <col min="2" max="2" width="8.875" customWidth="1"/>
    <col min="3" max="3" width="11" customWidth="1"/>
    <col min="4" max="4" width="15.75" customWidth="1"/>
    <col min="5" max="5" width="16.875" customWidth="1"/>
    <col min="6" max="6" width="8" customWidth="1"/>
    <col min="7" max="7" width="15.25" customWidth="1"/>
    <col min="8" max="8" width="11.5" customWidth="1"/>
    <col min="13" max="13" width="9.25" customWidth="1"/>
    <col min="14" max="14" width="7.375" customWidth="1"/>
    <col min="15" max="15" width="9.375" customWidth="1"/>
    <col min="16" max="16" width="10.125" customWidth="1"/>
    <col min="17" max="17" width="10.25" customWidth="1"/>
    <col min="18" max="18" width="9.25" customWidth="1"/>
    <col min="19" max="19" width="7.375" customWidth="1"/>
    <col min="20" max="20" width="9.375" customWidth="1"/>
    <col min="21" max="21" width="10.125" customWidth="1"/>
    <col min="22" max="22" width="10.25" customWidth="1"/>
    <col min="23" max="23" width="9.25" customWidth="1"/>
    <col min="24" max="24" width="7.5" customWidth="1"/>
    <col min="25" max="25" width="9.375" customWidth="1"/>
    <col min="26" max="26" width="10.125" customWidth="1"/>
    <col min="27" max="27" width="10.25" customWidth="1"/>
    <col min="28" max="28" width="9.25" customWidth="1"/>
    <col min="29" max="29" width="7.5" customWidth="1"/>
    <col min="30" max="30" width="9.375" customWidth="1"/>
    <col min="31" max="31" width="10.125" customWidth="1"/>
    <col min="32" max="32" width="10.25" customWidth="1"/>
    <col min="33" max="33" width="9.25" customWidth="1"/>
    <col min="34" max="34" width="7.5" customWidth="1"/>
    <col min="35" max="35" width="9.375" customWidth="1"/>
    <col min="36" max="36" width="10.125" customWidth="1"/>
    <col min="37" max="37" width="10.25" customWidth="1"/>
    <col min="38" max="38" width="9.25" customWidth="1"/>
    <col min="39" max="39" width="7.5" customWidth="1"/>
    <col min="40" max="40" width="9.375" customWidth="1"/>
    <col min="41" max="41" width="10.125" customWidth="1"/>
    <col min="42" max="42" width="10.25" customWidth="1"/>
  </cols>
  <sheetData>
    <row r="1" spans="1:42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5"/>
      <c r="J1" s="5"/>
      <c r="K1" s="5"/>
      <c r="L1" s="5"/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</row>
    <row r="2" spans="1:42">
      <c r="A2" s="2" t="s">
        <v>46</v>
      </c>
      <c r="B2" s="2">
        <v>11</v>
      </c>
      <c r="C2" s="2" t="s">
        <v>87</v>
      </c>
      <c r="D2" s="3">
        <v>3100600</v>
      </c>
      <c r="E2" s="3">
        <v>133532000</v>
      </c>
      <c r="F2" s="2" t="s">
        <v>45</v>
      </c>
      <c r="G2" s="2" t="s">
        <v>88</v>
      </c>
      <c r="H2" s="2">
        <v>2</v>
      </c>
      <c r="I2" s="6"/>
      <c r="J2" s="6"/>
      <c r="K2" s="7"/>
      <c r="L2" s="6"/>
      <c r="M2" s="9" t="str">
        <f t="shared" ref="M2:M31" si="0">IF(OR(C2&gt;5,I2="Past"),"Muammo","OK")</f>
        <v>Muammo</v>
      </c>
      <c r="N2" s="9" t="str">
        <f t="shared" ref="N2:N31" si="1">IF(OR(J2="Yo‘q",K2="Ha"),"Tekshirilsin","Normal")</f>
        <v>Normal</v>
      </c>
      <c r="O2" s="9" t="str">
        <f t="shared" ref="O2:O31" si="2">IF(F2&lt;&gt;"Active","To‘xtagan","Ishlayapti")</f>
        <v>Ishlayapti</v>
      </c>
      <c r="P2" s="9" t="str">
        <f t="shared" ref="P2:P31" si="3">IF(OR(B2&gt;100,C2&gt;5),"Yuqori risk","Past risk")</f>
        <v>Yuqori risk</v>
      </c>
      <c r="Q2" s="9" t="str">
        <f t="shared" ref="Q2:Q31" si="4">IF(OR(D2="M1",D2="M2"),"Asosiy liniya","Yordamchi")</f>
        <v>Yordamchi</v>
      </c>
      <c r="R2" s="9" t="str">
        <f t="shared" ref="R2:R31" si="5">IF(OR(C2&gt;5,I2="Past"),"Muammo","OK")</f>
        <v>Muammo</v>
      </c>
      <c r="S2" s="9" t="str">
        <f t="shared" ref="S2:S31" si="6">IF(OR(J2="Yo‘q",K2="Ha"),"Tekshirilsin","Normal")</f>
        <v>Normal</v>
      </c>
      <c r="T2" s="9" t="str">
        <f t="shared" ref="T2:T31" si="7">IF(F2&lt;&gt;"Active","To‘xtagan","Ishlayapti")</f>
        <v>Ishlayapti</v>
      </c>
      <c r="U2" s="9" t="str">
        <f t="shared" ref="U2:U31" si="8">IF(OR(B2&gt;100,C2&gt;5),"Yuqori risk","Past risk")</f>
        <v>Yuqori risk</v>
      </c>
      <c r="V2" s="9" t="str">
        <f t="shared" ref="V2:V31" si="9">IF(OR(D2="M1",D2="M2"),"Asosiy liniya","Yordamchi")</f>
        <v>Yordamchi</v>
      </c>
      <c r="W2" s="9" t="str">
        <f t="shared" ref="W2:W31" si="10">IF(OR(C2&gt;5,I2="Past"),"Muammo","OK")</f>
        <v>Muammo</v>
      </c>
      <c r="X2" s="9" t="str">
        <f t="shared" ref="X2:X31" si="11">IF(OR(J2="Yo‘q",K2="Ha"),"Tekshirilsin","Normal")</f>
        <v>Normal</v>
      </c>
      <c r="Y2" s="9" t="str">
        <f t="shared" ref="Y2:Y31" si="12">IF(F2&lt;&gt;"Active","To‘xtagan","Ishlayapti")</f>
        <v>Ishlayapti</v>
      </c>
      <c r="Z2" s="9" t="str">
        <f t="shared" ref="Z2:Z31" si="13">IF(OR(B2&gt;100,C2&gt;5),"Yuqori risk","Past risk")</f>
        <v>Yuqori risk</v>
      </c>
      <c r="AA2" s="9" t="str">
        <f t="shared" ref="AA2:AA31" si="14">IF(OR(D2="M1",D2="M2"),"Asosiy liniya","Yordamchi")</f>
        <v>Yordamchi</v>
      </c>
      <c r="AB2" s="9" t="str">
        <f t="shared" ref="AB2:AB31" si="15">IF(OR(C2&gt;5,I2="Past"),"Muammo","OK")</f>
        <v>Muammo</v>
      </c>
      <c r="AC2" s="9" t="str">
        <f t="shared" ref="AC2:AC31" si="16">IF(OR(J2="Yo‘q",K2="Ha"),"Tekshirilsin","Normal")</f>
        <v>Normal</v>
      </c>
      <c r="AD2" s="9" t="str">
        <f t="shared" ref="AD2:AD31" si="17">IF(F2&lt;&gt;"Active","To‘xtagan","Ishlayapti")</f>
        <v>Ishlayapti</v>
      </c>
      <c r="AE2" s="9" t="str">
        <f t="shared" ref="AE2:AE31" si="18">IF(OR(B2&gt;100,C2&gt;5),"Yuqori risk","Past risk")</f>
        <v>Yuqori risk</v>
      </c>
      <c r="AF2" s="9" t="str">
        <f t="shared" ref="AF2:AF31" si="19">IF(OR(D2="M1",D2="M2"),"Asosiy liniya","Yordamchi")</f>
        <v>Yordamchi</v>
      </c>
      <c r="AG2" s="9" t="str">
        <f t="shared" ref="AG2:AG31" si="20">IF(OR(C2&gt;5,I2="Past"),"Muammo","OK")</f>
        <v>Muammo</v>
      </c>
      <c r="AH2" s="9" t="str">
        <f t="shared" ref="AH2:AH31" si="21">IF(OR(J2="Yo‘q",K2="Ha"),"Tekshirilsin","Normal")</f>
        <v>Normal</v>
      </c>
      <c r="AI2" s="9" t="str">
        <f t="shared" ref="AI2:AI31" si="22">IF(F2&lt;&gt;"Active","To‘xtagan","Ishlayapti")</f>
        <v>Ishlayapti</v>
      </c>
      <c r="AJ2" s="9" t="str">
        <f t="shared" ref="AJ2:AJ31" si="23">IF(OR(B2&gt;100,C2&gt;5),"Yuqori risk","Past risk")</f>
        <v>Yuqori risk</v>
      </c>
      <c r="AK2" s="9" t="str">
        <f t="shared" ref="AK2:AK31" si="24">IF(OR(D2="M1",D2="M2"),"Asosiy liniya","Yordamchi")</f>
        <v>Yordamchi</v>
      </c>
      <c r="AL2" s="9" t="str">
        <f t="shared" ref="AL2:AL31" si="25">IF(OR(C2&gt;5,I2="Past"),"Muammo","OK")</f>
        <v>Muammo</v>
      </c>
      <c r="AM2" s="9" t="str">
        <f t="shared" ref="AM2:AM31" si="26">IF(OR(J2="Yo‘q",K2="Ha"),"Tekshirilsin","Normal")</f>
        <v>Normal</v>
      </c>
      <c r="AN2" s="9" t="str">
        <f t="shared" ref="AN2:AN31" si="27">IF(F2&lt;&gt;"Active","To‘xtagan","Ishlayapti")</f>
        <v>Ishlayapti</v>
      </c>
      <c r="AO2" s="9" t="str">
        <f t="shared" ref="AO2:AO31" si="28">IF(OR(B2&gt;100,C2&gt;5),"Yuqori risk","Past risk")</f>
        <v>Yuqori risk</v>
      </c>
      <c r="AP2" s="9" t="str">
        <f t="shared" ref="AP2:AP31" si="29">IF(OR(D2="M1",D2="M2"),"Asosiy liniya","Yordamchi")</f>
        <v>Yordamchi</v>
      </c>
    </row>
    <row r="3" spans="1:42">
      <c r="A3" s="2" t="s">
        <v>89</v>
      </c>
      <c r="B3" s="2">
        <v>23</v>
      </c>
      <c r="C3" s="2" t="s">
        <v>90</v>
      </c>
      <c r="D3" s="3">
        <v>11506500</v>
      </c>
      <c r="E3" s="3">
        <v>195017000</v>
      </c>
      <c r="F3" s="2" t="s">
        <v>45</v>
      </c>
      <c r="G3" s="2" t="s">
        <v>91</v>
      </c>
      <c r="H3" s="2">
        <v>3</v>
      </c>
      <c r="I3" s="6"/>
      <c r="J3" s="6"/>
      <c r="K3" s="7"/>
      <c r="L3" s="6"/>
      <c r="M3" s="9" t="str">
        <f t="shared" si="0"/>
        <v>Muammo</v>
      </c>
      <c r="N3" s="9" t="str">
        <f t="shared" si="1"/>
        <v>Normal</v>
      </c>
      <c r="O3" s="9" t="str">
        <f t="shared" si="2"/>
        <v>Ishlayapti</v>
      </c>
      <c r="P3" s="9" t="str">
        <f t="shared" si="3"/>
        <v>Yuqori risk</v>
      </c>
      <c r="Q3" s="9" t="str">
        <f t="shared" si="4"/>
        <v>Yordamchi</v>
      </c>
      <c r="R3" s="9" t="str">
        <f t="shared" si="5"/>
        <v>Muammo</v>
      </c>
      <c r="S3" s="9" t="str">
        <f t="shared" si="6"/>
        <v>Normal</v>
      </c>
      <c r="T3" s="9" t="str">
        <f t="shared" si="7"/>
        <v>Ishlayapti</v>
      </c>
      <c r="U3" s="9" t="str">
        <f t="shared" si="8"/>
        <v>Yuqori risk</v>
      </c>
      <c r="V3" s="9" t="str">
        <f t="shared" si="9"/>
        <v>Yordamchi</v>
      </c>
      <c r="W3" s="9" t="str">
        <f t="shared" si="10"/>
        <v>Muammo</v>
      </c>
      <c r="X3" s="9" t="str">
        <f t="shared" si="11"/>
        <v>Normal</v>
      </c>
      <c r="Y3" s="9" t="str">
        <f t="shared" si="12"/>
        <v>Ishlayapti</v>
      </c>
      <c r="Z3" s="9" t="str">
        <f t="shared" si="13"/>
        <v>Yuqori risk</v>
      </c>
      <c r="AA3" s="9" t="str">
        <f t="shared" si="14"/>
        <v>Yordamchi</v>
      </c>
      <c r="AB3" s="9" t="str">
        <f t="shared" si="15"/>
        <v>Muammo</v>
      </c>
      <c r="AC3" s="9" t="str">
        <f t="shared" si="16"/>
        <v>Normal</v>
      </c>
      <c r="AD3" s="9" t="str">
        <f t="shared" si="17"/>
        <v>Ishlayapti</v>
      </c>
      <c r="AE3" s="9" t="str">
        <f t="shared" si="18"/>
        <v>Yuqori risk</v>
      </c>
      <c r="AF3" s="9" t="str">
        <f t="shared" si="19"/>
        <v>Yordamchi</v>
      </c>
      <c r="AG3" s="9" t="str">
        <f t="shared" si="20"/>
        <v>Muammo</v>
      </c>
      <c r="AH3" s="9" t="str">
        <f t="shared" si="21"/>
        <v>Normal</v>
      </c>
      <c r="AI3" s="9" t="str">
        <f t="shared" si="22"/>
        <v>Ishlayapti</v>
      </c>
      <c r="AJ3" s="9" t="str">
        <f t="shared" si="23"/>
        <v>Yuqori risk</v>
      </c>
      <c r="AK3" s="9" t="str">
        <f t="shared" si="24"/>
        <v>Yordamchi</v>
      </c>
      <c r="AL3" s="9" t="str">
        <f t="shared" si="25"/>
        <v>Muammo</v>
      </c>
      <c r="AM3" s="9" t="str">
        <f t="shared" si="26"/>
        <v>Normal</v>
      </c>
      <c r="AN3" s="9" t="str">
        <f t="shared" si="27"/>
        <v>Ishlayapti</v>
      </c>
      <c r="AO3" s="9" t="str">
        <f t="shared" si="28"/>
        <v>Yuqori risk</v>
      </c>
      <c r="AP3" s="9" t="str">
        <f t="shared" si="29"/>
        <v>Yordamchi</v>
      </c>
    </row>
    <row r="4" spans="1:42">
      <c r="A4" s="2" t="s">
        <v>60</v>
      </c>
      <c r="B4" s="2">
        <v>19</v>
      </c>
      <c r="C4" s="2" t="s">
        <v>90</v>
      </c>
      <c r="D4" s="3">
        <v>5575400</v>
      </c>
      <c r="E4" s="3">
        <v>74877000</v>
      </c>
      <c r="F4" s="2" t="s">
        <v>92</v>
      </c>
      <c r="G4" s="2" t="s">
        <v>88</v>
      </c>
      <c r="H4" s="2">
        <v>13</v>
      </c>
      <c r="I4" s="6"/>
      <c r="J4" s="6"/>
      <c r="K4" s="7"/>
      <c r="L4" s="6"/>
      <c r="M4" s="9" t="str">
        <f t="shared" si="0"/>
        <v>Muammo</v>
      </c>
      <c r="N4" s="9" t="str">
        <f t="shared" si="1"/>
        <v>Normal</v>
      </c>
      <c r="O4" s="9" t="str">
        <f t="shared" si="2"/>
        <v>To‘xtagan</v>
      </c>
      <c r="P4" s="9" t="str">
        <f t="shared" si="3"/>
        <v>Yuqori risk</v>
      </c>
      <c r="Q4" s="9" t="str">
        <f t="shared" si="4"/>
        <v>Yordamchi</v>
      </c>
      <c r="R4" s="9" t="str">
        <f t="shared" si="5"/>
        <v>Muammo</v>
      </c>
      <c r="S4" s="9" t="str">
        <f t="shared" si="6"/>
        <v>Normal</v>
      </c>
      <c r="T4" s="9" t="str">
        <f t="shared" si="7"/>
        <v>To‘xtagan</v>
      </c>
      <c r="U4" s="9" t="str">
        <f t="shared" si="8"/>
        <v>Yuqori risk</v>
      </c>
      <c r="V4" s="9" t="str">
        <f t="shared" si="9"/>
        <v>Yordamchi</v>
      </c>
      <c r="W4" s="9" t="str">
        <f t="shared" si="10"/>
        <v>Muammo</v>
      </c>
      <c r="X4" s="9" t="str">
        <f t="shared" si="11"/>
        <v>Normal</v>
      </c>
      <c r="Y4" s="9" t="str">
        <f t="shared" si="12"/>
        <v>To‘xtagan</v>
      </c>
      <c r="Z4" s="9" t="str">
        <f t="shared" si="13"/>
        <v>Yuqori risk</v>
      </c>
      <c r="AA4" s="9" t="str">
        <f t="shared" si="14"/>
        <v>Yordamchi</v>
      </c>
      <c r="AB4" s="9" t="str">
        <f t="shared" si="15"/>
        <v>Muammo</v>
      </c>
      <c r="AC4" s="9" t="str">
        <f t="shared" si="16"/>
        <v>Normal</v>
      </c>
      <c r="AD4" s="9" t="str">
        <f t="shared" si="17"/>
        <v>To‘xtagan</v>
      </c>
      <c r="AE4" s="9" t="str">
        <f t="shared" si="18"/>
        <v>Yuqori risk</v>
      </c>
      <c r="AF4" s="9" t="str">
        <f t="shared" si="19"/>
        <v>Yordamchi</v>
      </c>
      <c r="AG4" s="9" t="str">
        <f t="shared" si="20"/>
        <v>Muammo</v>
      </c>
      <c r="AH4" s="9" t="str">
        <f t="shared" si="21"/>
        <v>Normal</v>
      </c>
      <c r="AI4" s="9" t="str">
        <f t="shared" si="22"/>
        <v>To‘xtagan</v>
      </c>
      <c r="AJ4" s="9" t="str">
        <f t="shared" si="23"/>
        <v>Yuqori risk</v>
      </c>
      <c r="AK4" s="9" t="str">
        <f t="shared" si="24"/>
        <v>Yordamchi</v>
      </c>
      <c r="AL4" s="9" t="str">
        <f t="shared" si="25"/>
        <v>Muammo</v>
      </c>
      <c r="AM4" s="9" t="str">
        <f t="shared" si="26"/>
        <v>Normal</v>
      </c>
      <c r="AN4" s="9" t="str">
        <f t="shared" si="27"/>
        <v>To‘xtagan</v>
      </c>
      <c r="AO4" s="9" t="str">
        <f t="shared" si="28"/>
        <v>Yuqori risk</v>
      </c>
      <c r="AP4" s="9" t="str">
        <f t="shared" si="29"/>
        <v>Yordamchi</v>
      </c>
    </row>
    <row r="5" spans="1:42">
      <c r="A5" s="2" t="s">
        <v>65</v>
      </c>
      <c r="B5" s="2">
        <v>6</v>
      </c>
      <c r="C5" s="2" t="s">
        <v>93</v>
      </c>
      <c r="D5" s="3">
        <v>18319800</v>
      </c>
      <c r="E5" s="3">
        <v>133120000</v>
      </c>
      <c r="F5" s="2" t="s">
        <v>45</v>
      </c>
      <c r="G5" s="2" t="s">
        <v>91</v>
      </c>
      <c r="H5" s="2">
        <v>20</v>
      </c>
      <c r="I5" s="6"/>
      <c r="J5" s="6"/>
      <c r="K5" s="7"/>
      <c r="L5" s="6"/>
      <c r="M5" s="9" t="str">
        <f t="shared" si="0"/>
        <v>Muammo</v>
      </c>
      <c r="N5" s="9" t="str">
        <f t="shared" si="1"/>
        <v>Normal</v>
      </c>
      <c r="O5" s="9" t="str">
        <f t="shared" si="2"/>
        <v>Ishlayapti</v>
      </c>
      <c r="P5" s="9" t="str">
        <f t="shared" si="3"/>
        <v>Yuqori risk</v>
      </c>
      <c r="Q5" s="9" t="str">
        <f t="shared" si="4"/>
        <v>Yordamchi</v>
      </c>
      <c r="R5" s="9" t="str">
        <f t="shared" si="5"/>
        <v>Muammo</v>
      </c>
      <c r="S5" s="9" t="str">
        <f t="shared" si="6"/>
        <v>Normal</v>
      </c>
      <c r="T5" s="9" t="str">
        <f t="shared" si="7"/>
        <v>Ishlayapti</v>
      </c>
      <c r="U5" s="9" t="str">
        <f t="shared" si="8"/>
        <v>Yuqori risk</v>
      </c>
      <c r="V5" s="9" t="str">
        <f t="shared" si="9"/>
        <v>Yordamchi</v>
      </c>
      <c r="W5" s="9" t="str">
        <f t="shared" si="10"/>
        <v>Muammo</v>
      </c>
      <c r="X5" s="9" t="str">
        <f t="shared" si="11"/>
        <v>Normal</v>
      </c>
      <c r="Y5" s="9" t="str">
        <f t="shared" si="12"/>
        <v>Ishlayapti</v>
      </c>
      <c r="Z5" s="9" t="str">
        <f t="shared" si="13"/>
        <v>Yuqori risk</v>
      </c>
      <c r="AA5" s="9" t="str">
        <f t="shared" si="14"/>
        <v>Yordamchi</v>
      </c>
      <c r="AB5" s="9" t="str">
        <f t="shared" si="15"/>
        <v>Muammo</v>
      </c>
      <c r="AC5" s="9" t="str">
        <f t="shared" si="16"/>
        <v>Normal</v>
      </c>
      <c r="AD5" s="9" t="str">
        <f t="shared" si="17"/>
        <v>Ishlayapti</v>
      </c>
      <c r="AE5" s="9" t="str">
        <f t="shared" si="18"/>
        <v>Yuqori risk</v>
      </c>
      <c r="AF5" s="9" t="str">
        <f t="shared" si="19"/>
        <v>Yordamchi</v>
      </c>
      <c r="AG5" s="9" t="str">
        <f t="shared" si="20"/>
        <v>Muammo</v>
      </c>
      <c r="AH5" s="9" t="str">
        <f t="shared" si="21"/>
        <v>Normal</v>
      </c>
      <c r="AI5" s="9" t="str">
        <f t="shared" si="22"/>
        <v>Ishlayapti</v>
      </c>
      <c r="AJ5" s="9" t="str">
        <f t="shared" si="23"/>
        <v>Yuqori risk</v>
      </c>
      <c r="AK5" s="9" t="str">
        <f t="shared" si="24"/>
        <v>Yordamchi</v>
      </c>
      <c r="AL5" s="9" t="str">
        <f t="shared" si="25"/>
        <v>Muammo</v>
      </c>
      <c r="AM5" s="9" t="str">
        <f t="shared" si="26"/>
        <v>Normal</v>
      </c>
      <c r="AN5" s="9" t="str">
        <f t="shared" si="27"/>
        <v>Ishlayapti</v>
      </c>
      <c r="AO5" s="9" t="str">
        <f t="shared" si="28"/>
        <v>Yuqori risk</v>
      </c>
      <c r="AP5" s="9" t="str">
        <f t="shared" si="29"/>
        <v>Yordamchi</v>
      </c>
    </row>
    <row r="6" spans="1:42">
      <c r="A6" s="2" t="s">
        <v>68</v>
      </c>
      <c r="B6" s="2">
        <v>31</v>
      </c>
      <c r="C6" s="2" t="s">
        <v>94</v>
      </c>
      <c r="D6" s="3">
        <v>8953200</v>
      </c>
      <c r="E6" s="3">
        <v>109336000</v>
      </c>
      <c r="F6" s="2" t="s">
        <v>45</v>
      </c>
      <c r="G6" s="2" t="s">
        <v>95</v>
      </c>
      <c r="H6" s="2">
        <v>20</v>
      </c>
      <c r="I6" s="6"/>
      <c r="J6" s="6"/>
      <c r="K6" s="7"/>
      <c r="L6" s="6"/>
      <c r="M6" s="9" t="str">
        <f t="shared" si="0"/>
        <v>Muammo</v>
      </c>
      <c r="N6" s="9" t="str">
        <f t="shared" si="1"/>
        <v>Normal</v>
      </c>
      <c r="O6" s="9" t="str">
        <f t="shared" si="2"/>
        <v>Ishlayapti</v>
      </c>
      <c r="P6" s="9" t="str">
        <f t="shared" si="3"/>
        <v>Yuqori risk</v>
      </c>
      <c r="Q6" s="9" t="str">
        <f t="shared" si="4"/>
        <v>Yordamchi</v>
      </c>
      <c r="R6" s="9" t="str">
        <f t="shared" si="5"/>
        <v>Muammo</v>
      </c>
      <c r="S6" s="9" t="str">
        <f t="shared" si="6"/>
        <v>Normal</v>
      </c>
      <c r="T6" s="9" t="str">
        <f t="shared" si="7"/>
        <v>Ishlayapti</v>
      </c>
      <c r="U6" s="9" t="str">
        <f t="shared" si="8"/>
        <v>Yuqori risk</v>
      </c>
      <c r="V6" s="9" t="str">
        <f t="shared" si="9"/>
        <v>Yordamchi</v>
      </c>
      <c r="W6" s="9" t="str">
        <f t="shared" si="10"/>
        <v>Muammo</v>
      </c>
      <c r="X6" s="9" t="str">
        <f t="shared" si="11"/>
        <v>Normal</v>
      </c>
      <c r="Y6" s="9" t="str">
        <f t="shared" si="12"/>
        <v>Ishlayapti</v>
      </c>
      <c r="Z6" s="9" t="str">
        <f t="shared" si="13"/>
        <v>Yuqori risk</v>
      </c>
      <c r="AA6" s="9" t="str">
        <f t="shared" si="14"/>
        <v>Yordamchi</v>
      </c>
      <c r="AB6" s="9" t="str">
        <f t="shared" si="15"/>
        <v>Muammo</v>
      </c>
      <c r="AC6" s="9" t="str">
        <f t="shared" si="16"/>
        <v>Normal</v>
      </c>
      <c r="AD6" s="9" t="str">
        <f t="shared" si="17"/>
        <v>Ishlayapti</v>
      </c>
      <c r="AE6" s="9" t="str">
        <f t="shared" si="18"/>
        <v>Yuqori risk</v>
      </c>
      <c r="AF6" s="9" t="str">
        <f t="shared" si="19"/>
        <v>Yordamchi</v>
      </c>
      <c r="AG6" s="9" t="str">
        <f t="shared" si="20"/>
        <v>Muammo</v>
      </c>
      <c r="AH6" s="9" t="str">
        <f t="shared" si="21"/>
        <v>Normal</v>
      </c>
      <c r="AI6" s="9" t="str">
        <f t="shared" si="22"/>
        <v>Ishlayapti</v>
      </c>
      <c r="AJ6" s="9" t="str">
        <f t="shared" si="23"/>
        <v>Yuqori risk</v>
      </c>
      <c r="AK6" s="9" t="str">
        <f t="shared" si="24"/>
        <v>Yordamchi</v>
      </c>
      <c r="AL6" s="9" t="str">
        <f t="shared" si="25"/>
        <v>Muammo</v>
      </c>
      <c r="AM6" s="9" t="str">
        <f t="shared" si="26"/>
        <v>Normal</v>
      </c>
      <c r="AN6" s="9" t="str">
        <f t="shared" si="27"/>
        <v>Ishlayapti</v>
      </c>
      <c r="AO6" s="9" t="str">
        <f t="shared" si="28"/>
        <v>Yuqori risk</v>
      </c>
      <c r="AP6" s="9" t="str">
        <f t="shared" si="29"/>
        <v>Yordamchi</v>
      </c>
    </row>
    <row r="7" spans="1:42">
      <c r="A7" s="2" t="s">
        <v>70</v>
      </c>
      <c r="B7" s="2">
        <v>27</v>
      </c>
      <c r="C7" s="2" t="s">
        <v>93</v>
      </c>
      <c r="D7" s="3">
        <v>16925100</v>
      </c>
      <c r="E7" s="3">
        <v>69014000</v>
      </c>
      <c r="F7" s="2" t="s">
        <v>92</v>
      </c>
      <c r="G7" s="2" t="s">
        <v>91</v>
      </c>
      <c r="H7" s="2">
        <v>5</v>
      </c>
      <c r="I7" s="6"/>
      <c r="J7" s="6"/>
      <c r="K7" s="7"/>
      <c r="L7" s="6"/>
      <c r="M7" s="9" t="str">
        <f t="shared" si="0"/>
        <v>Muammo</v>
      </c>
      <c r="N7" s="9" t="str">
        <f t="shared" si="1"/>
        <v>Normal</v>
      </c>
      <c r="O7" s="9" t="str">
        <f t="shared" si="2"/>
        <v>To‘xtagan</v>
      </c>
      <c r="P7" s="9" t="str">
        <f t="shared" si="3"/>
        <v>Yuqori risk</v>
      </c>
      <c r="Q7" s="9" t="str">
        <f t="shared" si="4"/>
        <v>Yordamchi</v>
      </c>
      <c r="R7" s="9" t="str">
        <f t="shared" si="5"/>
        <v>Muammo</v>
      </c>
      <c r="S7" s="9" t="str">
        <f t="shared" si="6"/>
        <v>Normal</v>
      </c>
      <c r="T7" s="9" t="str">
        <f t="shared" si="7"/>
        <v>To‘xtagan</v>
      </c>
      <c r="U7" s="9" t="str">
        <f t="shared" si="8"/>
        <v>Yuqori risk</v>
      </c>
      <c r="V7" s="9" t="str">
        <f t="shared" si="9"/>
        <v>Yordamchi</v>
      </c>
      <c r="W7" s="9" t="str">
        <f t="shared" si="10"/>
        <v>Muammo</v>
      </c>
      <c r="X7" s="9" t="str">
        <f t="shared" si="11"/>
        <v>Normal</v>
      </c>
      <c r="Y7" s="9" t="str">
        <f t="shared" si="12"/>
        <v>To‘xtagan</v>
      </c>
      <c r="Z7" s="9" t="str">
        <f t="shared" si="13"/>
        <v>Yuqori risk</v>
      </c>
      <c r="AA7" s="9" t="str">
        <f t="shared" si="14"/>
        <v>Yordamchi</v>
      </c>
      <c r="AB7" s="9" t="str">
        <f t="shared" si="15"/>
        <v>Muammo</v>
      </c>
      <c r="AC7" s="9" t="str">
        <f t="shared" si="16"/>
        <v>Normal</v>
      </c>
      <c r="AD7" s="9" t="str">
        <f t="shared" si="17"/>
        <v>To‘xtagan</v>
      </c>
      <c r="AE7" s="9" t="str">
        <f t="shared" si="18"/>
        <v>Yuqori risk</v>
      </c>
      <c r="AF7" s="9" t="str">
        <f t="shared" si="19"/>
        <v>Yordamchi</v>
      </c>
      <c r="AG7" s="9" t="str">
        <f t="shared" si="20"/>
        <v>Muammo</v>
      </c>
      <c r="AH7" s="9" t="str">
        <f t="shared" si="21"/>
        <v>Normal</v>
      </c>
      <c r="AI7" s="9" t="str">
        <f t="shared" si="22"/>
        <v>To‘xtagan</v>
      </c>
      <c r="AJ7" s="9" t="str">
        <f t="shared" si="23"/>
        <v>Yuqori risk</v>
      </c>
      <c r="AK7" s="9" t="str">
        <f t="shared" si="24"/>
        <v>Yordamchi</v>
      </c>
      <c r="AL7" s="9" t="str">
        <f t="shared" si="25"/>
        <v>Muammo</v>
      </c>
      <c r="AM7" s="9" t="str">
        <f t="shared" si="26"/>
        <v>Normal</v>
      </c>
      <c r="AN7" s="9" t="str">
        <f t="shared" si="27"/>
        <v>To‘xtagan</v>
      </c>
      <c r="AO7" s="9" t="str">
        <f t="shared" si="28"/>
        <v>Yuqori risk</v>
      </c>
      <c r="AP7" s="9" t="str">
        <f t="shared" si="29"/>
        <v>Yordamchi</v>
      </c>
    </row>
    <row r="8" spans="1:42">
      <c r="A8" s="2" t="s">
        <v>72</v>
      </c>
      <c r="B8" s="2">
        <v>40</v>
      </c>
      <c r="C8" s="2" t="s">
        <v>96</v>
      </c>
      <c r="D8" s="3">
        <v>12872800</v>
      </c>
      <c r="E8" s="3">
        <v>191060000</v>
      </c>
      <c r="F8" s="2" t="s">
        <v>45</v>
      </c>
      <c r="G8" s="2" t="s">
        <v>95</v>
      </c>
      <c r="H8" s="2">
        <v>6</v>
      </c>
      <c r="I8" s="6"/>
      <c r="J8" s="6"/>
      <c r="K8" s="7"/>
      <c r="L8" s="6"/>
      <c r="M8" s="9" t="str">
        <f t="shared" si="0"/>
        <v>Muammo</v>
      </c>
      <c r="N8" s="9" t="str">
        <f t="shared" si="1"/>
        <v>Normal</v>
      </c>
      <c r="O8" s="9" t="str">
        <f t="shared" si="2"/>
        <v>Ishlayapti</v>
      </c>
      <c r="P8" s="9" t="str">
        <f t="shared" si="3"/>
        <v>Yuqori risk</v>
      </c>
      <c r="Q8" s="9" t="str">
        <f t="shared" si="4"/>
        <v>Yordamchi</v>
      </c>
      <c r="R8" s="9" t="str">
        <f t="shared" si="5"/>
        <v>Muammo</v>
      </c>
      <c r="S8" s="9" t="str">
        <f t="shared" si="6"/>
        <v>Normal</v>
      </c>
      <c r="T8" s="9" t="str">
        <f t="shared" si="7"/>
        <v>Ishlayapti</v>
      </c>
      <c r="U8" s="9" t="str">
        <f t="shared" si="8"/>
        <v>Yuqori risk</v>
      </c>
      <c r="V8" s="9" t="str">
        <f t="shared" si="9"/>
        <v>Yordamchi</v>
      </c>
      <c r="W8" s="9" t="str">
        <f t="shared" si="10"/>
        <v>Muammo</v>
      </c>
      <c r="X8" s="9" t="str">
        <f t="shared" si="11"/>
        <v>Normal</v>
      </c>
      <c r="Y8" s="9" t="str">
        <f t="shared" si="12"/>
        <v>Ishlayapti</v>
      </c>
      <c r="Z8" s="9" t="str">
        <f t="shared" si="13"/>
        <v>Yuqori risk</v>
      </c>
      <c r="AA8" s="9" t="str">
        <f t="shared" si="14"/>
        <v>Yordamchi</v>
      </c>
      <c r="AB8" s="9" t="str">
        <f t="shared" si="15"/>
        <v>Muammo</v>
      </c>
      <c r="AC8" s="9" t="str">
        <f t="shared" si="16"/>
        <v>Normal</v>
      </c>
      <c r="AD8" s="9" t="str">
        <f t="shared" si="17"/>
        <v>Ishlayapti</v>
      </c>
      <c r="AE8" s="9" t="str">
        <f t="shared" si="18"/>
        <v>Yuqori risk</v>
      </c>
      <c r="AF8" s="9" t="str">
        <f t="shared" si="19"/>
        <v>Yordamchi</v>
      </c>
      <c r="AG8" s="9" t="str">
        <f t="shared" si="20"/>
        <v>Muammo</v>
      </c>
      <c r="AH8" s="9" t="str">
        <f t="shared" si="21"/>
        <v>Normal</v>
      </c>
      <c r="AI8" s="9" t="str">
        <f t="shared" si="22"/>
        <v>Ishlayapti</v>
      </c>
      <c r="AJ8" s="9" t="str">
        <f t="shared" si="23"/>
        <v>Yuqori risk</v>
      </c>
      <c r="AK8" s="9" t="str">
        <f t="shared" si="24"/>
        <v>Yordamchi</v>
      </c>
      <c r="AL8" s="9" t="str">
        <f t="shared" si="25"/>
        <v>Muammo</v>
      </c>
      <c r="AM8" s="9" t="str">
        <f t="shared" si="26"/>
        <v>Normal</v>
      </c>
      <c r="AN8" s="9" t="str">
        <f t="shared" si="27"/>
        <v>Ishlayapti</v>
      </c>
      <c r="AO8" s="9" t="str">
        <f t="shared" si="28"/>
        <v>Yuqori risk</v>
      </c>
      <c r="AP8" s="9" t="str">
        <f t="shared" si="29"/>
        <v>Yordamchi</v>
      </c>
    </row>
    <row r="9" spans="1:42">
      <c r="A9" s="2" t="s">
        <v>74</v>
      </c>
      <c r="B9" s="2">
        <v>45</v>
      </c>
      <c r="C9" s="2" t="s">
        <v>97</v>
      </c>
      <c r="D9" s="3">
        <v>11928700</v>
      </c>
      <c r="E9" s="3">
        <v>74049000</v>
      </c>
      <c r="F9" s="2" t="s">
        <v>92</v>
      </c>
      <c r="G9" s="2" t="s">
        <v>95</v>
      </c>
      <c r="H9" s="2">
        <v>19</v>
      </c>
      <c r="I9" s="6"/>
      <c r="J9" s="6"/>
      <c r="K9" s="7"/>
      <c r="L9" s="6"/>
      <c r="M9" s="9" t="str">
        <f t="shared" si="0"/>
        <v>Muammo</v>
      </c>
      <c r="N9" s="9" t="str">
        <f t="shared" si="1"/>
        <v>Normal</v>
      </c>
      <c r="O9" s="9" t="str">
        <f t="shared" si="2"/>
        <v>To‘xtagan</v>
      </c>
      <c r="P9" s="9" t="str">
        <f t="shared" si="3"/>
        <v>Yuqori risk</v>
      </c>
      <c r="Q9" s="9" t="str">
        <f t="shared" si="4"/>
        <v>Yordamchi</v>
      </c>
      <c r="R9" s="9" t="str">
        <f t="shared" si="5"/>
        <v>Muammo</v>
      </c>
      <c r="S9" s="9" t="str">
        <f t="shared" si="6"/>
        <v>Normal</v>
      </c>
      <c r="T9" s="9" t="str">
        <f t="shared" si="7"/>
        <v>To‘xtagan</v>
      </c>
      <c r="U9" s="9" t="str">
        <f t="shared" si="8"/>
        <v>Yuqori risk</v>
      </c>
      <c r="V9" s="9" t="str">
        <f t="shared" si="9"/>
        <v>Yordamchi</v>
      </c>
      <c r="W9" s="9" t="str">
        <f t="shared" si="10"/>
        <v>Muammo</v>
      </c>
      <c r="X9" s="9" t="str">
        <f t="shared" si="11"/>
        <v>Normal</v>
      </c>
      <c r="Y9" s="9" t="str">
        <f t="shared" si="12"/>
        <v>To‘xtagan</v>
      </c>
      <c r="Z9" s="9" t="str">
        <f t="shared" si="13"/>
        <v>Yuqori risk</v>
      </c>
      <c r="AA9" s="9" t="str">
        <f t="shared" si="14"/>
        <v>Yordamchi</v>
      </c>
      <c r="AB9" s="9" t="str">
        <f t="shared" si="15"/>
        <v>Muammo</v>
      </c>
      <c r="AC9" s="9" t="str">
        <f t="shared" si="16"/>
        <v>Normal</v>
      </c>
      <c r="AD9" s="9" t="str">
        <f t="shared" si="17"/>
        <v>To‘xtagan</v>
      </c>
      <c r="AE9" s="9" t="str">
        <f t="shared" si="18"/>
        <v>Yuqori risk</v>
      </c>
      <c r="AF9" s="9" t="str">
        <f t="shared" si="19"/>
        <v>Yordamchi</v>
      </c>
      <c r="AG9" s="9" t="str">
        <f t="shared" si="20"/>
        <v>Muammo</v>
      </c>
      <c r="AH9" s="9" t="str">
        <f t="shared" si="21"/>
        <v>Normal</v>
      </c>
      <c r="AI9" s="9" t="str">
        <f t="shared" si="22"/>
        <v>To‘xtagan</v>
      </c>
      <c r="AJ9" s="9" t="str">
        <f t="shared" si="23"/>
        <v>Yuqori risk</v>
      </c>
      <c r="AK9" s="9" t="str">
        <f t="shared" si="24"/>
        <v>Yordamchi</v>
      </c>
      <c r="AL9" s="9" t="str">
        <f t="shared" si="25"/>
        <v>Muammo</v>
      </c>
      <c r="AM9" s="9" t="str">
        <f t="shared" si="26"/>
        <v>Normal</v>
      </c>
      <c r="AN9" s="9" t="str">
        <f t="shared" si="27"/>
        <v>To‘xtagan</v>
      </c>
      <c r="AO9" s="9" t="str">
        <f t="shared" si="28"/>
        <v>Yuqori risk</v>
      </c>
      <c r="AP9" s="9" t="str">
        <f t="shared" si="29"/>
        <v>Yordamchi</v>
      </c>
    </row>
    <row r="10" spans="1:42">
      <c r="A10" s="2" t="s">
        <v>76</v>
      </c>
      <c r="B10" s="2">
        <v>18</v>
      </c>
      <c r="C10" s="2" t="s">
        <v>90</v>
      </c>
      <c r="D10" s="3">
        <v>2783400</v>
      </c>
      <c r="E10" s="3">
        <v>87456000</v>
      </c>
      <c r="F10" s="2" t="s">
        <v>92</v>
      </c>
      <c r="G10" s="2" t="s">
        <v>88</v>
      </c>
      <c r="H10" s="2">
        <v>13</v>
      </c>
      <c r="I10" s="6"/>
      <c r="J10" s="6"/>
      <c r="K10" s="7"/>
      <c r="L10" s="6"/>
      <c r="M10" s="9" t="str">
        <f t="shared" si="0"/>
        <v>Muammo</v>
      </c>
      <c r="N10" s="9" t="str">
        <f t="shared" si="1"/>
        <v>Normal</v>
      </c>
      <c r="O10" s="9" t="str">
        <f t="shared" si="2"/>
        <v>To‘xtagan</v>
      </c>
      <c r="P10" s="9" t="str">
        <f t="shared" si="3"/>
        <v>Yuqori risk</v>
      </c>
      <c r="Q10" s="9" t="str">
        <f t="shared" si="4"/>
        <v>Yordamchi</v>
      </c>
      <c r="R10" s="9" t="str">
        <f t="shared" si="5"/>
        <v>Muammo</v>
      </c>
      <c r="S10" s="9" t="str">
        <f t="shared" si="6"/>
        <v>Normal</v>
      </c>
      <c r="T10" s="9" t="str">
        <f t="shared" si="7"/>
        <v>To‘xtagan</v>
      </c>
      <c r="U10" s="9" t="str">
        <f t="shared" si="8"/>
        <v>Yuqori risk</v>
      </c>
      <c r="V10" s="9" t="str">
        <f t="shared" si="9"/>
        <v>Yordamchi</v>
      </c>
      <c r="W10" s="9" t="str">
        <f t="shared" si="10"/>
        <v>Muammo</v>
      </c>
      <c r="X10" s="9" t="str">
        <f t="shared" si="11"/>
        <v>Normal</v>
      </c>
      <c r="Y10" s="9" t="str">
        <f t="shared" si="12"/>
        <v>To‘xtagan</v>
      </c>
      <c r="Z10" s="9" t="str">
        <f t="shared" si="13"/>
        <v>Yuqori risk</v>
      </c>
      <c r="AA10" s="9" t="str">
        <f t="shared" si="14"/>
        <v>Yordamchi</v>
      </c>
      <c r="AB10" s="9" t="str">
        <f t="shared" si="15"/>
        <v>Muammo</v>
      </c>
      <c r="AC10" s="9" t="str">
        <f t="shared" si="16"/>
        <v>Normal</v>
      </c>
      <c r="AD10" s="9" t="str">
        <f t="shared" si="17"/>
        <v>To‘xtagan</v>
      </c>
      <c r="AE10" s="9" t="str">
        <f t="shared" si="18"/>
        <v>Yuqori risk</v>
      </c>
      <c r="AF10" s="9" t="str">
        <f t="shared" si="19"/>
        <v>Yordamchi</v>
      </c>
      <c r="AG10" s="9" t="str">
        <f t="shared" si="20"/>
        <v>Muammo</v>
      </c>
      <c r="AH10" s="9" t="str">
        <f t="shared" si="21"/>
        <v>Normal</v>
      </c>
      <c r="AI10" s="9" t="str">
        <f t="shared" si="22"/>
        <v>To‘xtagan</v>
      </c>
      <c r="AJ10" s="9" t="str">
        <f t="shared" si="23"/>
        <v>Yuqori risk</v>
      </c>
      <c r="AK10" s="9" t="str">
        <f t="shared" si="24"/>
        <v>Yordamchi</v>
      </c>
      <c r="AL10" s="9" t="str">
        <f t="shared" si="25"/>
        <v>Muammo</v>
      </c>
      <c r="AM10" s="9" t="str">
        <f t="shared" si="26"/>
        <v>Normal</v>
      </c>
      <c r="AN10" s="9" t="str">
        <f t="shared" si="27"/>
        <v>To‘xtagan</v>
      </c>
      <c r="AO10" s="9" t="str">
        <f t="shared" si="28"/>
        <v>Yuqori risk</v>
      </c>
      <c r="AP10" s="9" t="str">
        <f t="shared" si="29"/>
        <v>Yordamchi</v>
      </c>
    </row>
    <row r="11" spans="1:42">
      <c r="A11" s="2" t="s">
        <v>78</v>
      </c>
      <c r="B11" s="2">
        <v>49</v>
      </c>
      <c r="C11" s="2" t="s">
        <v>98</v>
      </c>
      <c r="D11" s="3">
        <v>1096500</v>
      </c>
      <c r="E11" s="3">
        <v>193035000</v>
      </c>
      <c r="F11" s="2" t="s">
        <v>45</v>
      </c>
      <c r="G11" s="2" t="s">
        <v>91</v>
      </c>
      <c r="H11" s="2">
        <v>0</v>
      </c>
      <c r="I11" s="6"/>
      <c r="J11" s="6"/>
      <c r="K11" s="7"/>
      <c r="L11" s="6"/>
      <c r="M11" s="9" t="str">
        <f t="shared" si="0"/>
        <v>Muammo</v>
      </c>
      <c r="N11" s="9" t="str">
        <f t="shared" si="1"/>
        <v>Normal</v>
      </c>
      <c r="O11" s="9" t="str">
        <f t="shared" si="2"/>
        <v>Ishlayapti</v>
      </c>
      <c r="P11" s="9" t="str">
        <f t="shared" si="3"/>
        <v>Yuqori risk</v>
      </c>
      <c r="Q11" s="9" t="str">
        <f t="shared" si="4"/>
        <v>Yordamchi</v>
      </c>
      <c r="R11" s="9" t="str">
        <f t="shared" si="5"/>
        <v>Muammo</v>
      </c>
      <c r="S11" s="9" t="str">
        <f t="shared" si="6"/>
        <v>Normal</v>
      </c>
      <c r="T11" s="9" t="str">
        <f t="shared" si="7"/>
        <v>Ishlayapti</v>
      </c>
      <c r="U11" s="9" t="str">
        <f t="shared" si="8"/>
        <v>Yuqori risk</v>
      </c>
      <c r="V11" s="9" t="str">
        <f t="shared" si="9"/>
        <v>Yordamchi</v>
      </c>
      <c r="W11" s="9" t="str">
        <f t="shared" si="10"/>
        <v>Muammo</v>
      </c>
      <c r="X11" s="9" t="str">
        <f t="shared" si="11"/>
        <v>Normal</v>
      </c>
      <c r="Y11" s="9" t="str">
        <f t="shared" si="12"/>
        <v>Ishlayapti</v>
      </c>
      <c r="Z11" s="9" t="str">
        <f t="shared" si="13"/>
        <v>Yuqori risk</v>
      </c>
      <c r="AA11" s="9" t="str">
        <f t="shared" si="14"/>
        <v>Yordamchi</v>
      </c>
      <c r="AB11" s="9" t="str">
        <f t="shared" si="15"/>
        <v>Muammo</v>
      </c>
      <c r="AC11" s="9" t="str">
        <f t="shared" si="16"/>
        <v>Normal</v>
      </c>
      <c r="AD11" s="9" t="str">
        <f t="shared" si="17"/>
        <v>Ishlayapti</v>
      </c>
      <c r="AE11" s="9" t="str">
        <f t="shared" si="18"/>
        <v>Yuqori risk</v>
      </c>
      <c r="AF11" s="9" t="str">
        <f t="shared" si="19"/>
        <v>Yordamchi</v>
      </c>
      <c r="AG11" s="9" t="str">
        <f t="shared" si="20"/>
        <v>Muammo</v>
      </c>
      <c r="AH11" s="9" t="str">
        <f t="shared" si="21"/>
        <v>Normal</v>
      </c>
      <c r="AI11" s="9" t="str">
        <f t="shared" si="22"/>
        <v>Ishlayapti</v>
      </c>
      <c r="AJ11" s="9" t="str">
        <f t="shared" si="23"/>
        <v>Yuqori risk</v>
      </c>
      <c r="AK11" s="9" t="str">
        <f t="shared" si="24"/>
        <v>Yordamchi</v>
      </c>
      <c r="AL11" s="9" t="str">
        <f t="shared" si="25"/>
        <v>Muammo</v>
      </c>
      <c r="AM11" s="9" t="str">
        <f t="shared" si="26"/>
        <v>Normal</v>
      </c>
      <c r="AN11" s="9" t="str">
        <f t="shared" si="27"/>
        <v>Ishlayapti</v>
      </c>
      <c r="AO11" s="9" t="str">
        <f t="shared" si="28"/>
        <v>Yuqori risk</v>
      </c>
      <c r="AP11" s="9" t="str">
        <f t="shared" si="29"/>
        <v>Yordamchi</v>
      </c>
    </row>
    <row r="12" spans="1:42">
      <c r="A12" s="2" t="s">
        <v>99</v>
      </c>
      <c r="B12" s="2">
        <v>39</v>
      </c>
      <c r="C12" s="2" t="s">
        <v>94</v>
      </c>
      <c r="D12" s="3">
        <v>9870300</v>
      </c>
      <c r="E12" s="3">
        <v>108671000</v>
      </c>
      <c r="F12" s="2" t="s">
        <v>45</v>
      </c>
      <c r="G12" s="2" t="s">
        <v>95</v>
      </c>
      <c r="H12" s="2">
        <v>19</v>
      </c>
      <c r="I12" s="6"/>
      <c r="J12" s="6"/>
      <c r="K12" s="7"/>
      <c r="L12" s="6"/>
      <c r="M12" s="9" t="str">
        <f t="shared" si="0"/>
        <v>Muammo</v>
      </c>
      <c r="N12" s="9" t="str">
        <f t="shared" si="1"/>
        <v>Normal</v>
      </c>
      <c r="O12" s="9" t="str">
        <f t="shared" si="2"/>
        <v>Ishlayapti</v>
      </c>
      <c r="P12" s="9" t="str">
        <f t="shared" si="3"/>
        <v>Yuqori risk</v>
      </c>
      <c r="Q12" s="9" t="str">
        <f t="shared" si="4"/>
        <v>Yordamchi</v>
      </c>
      <c r="R12" s="9" t="str">
        <f t="shared" si="5"/>
        <v>Muammo</v>
      </c>
      <c r="S12" s="9" t="str">
        <f t="shared" si="6"/>
        <v>Normal</v>
      </c>
      <c r="T12" s="9" t="str">
        <f t="shared" si="7"/>
        <v>Ishlayapti</v>
      </c>
      <c r="U12" s="9" t="str">
        <f t="shared" si="8"/>
        <v>Yuqori risk</v>
      </c>
      <c r="V12" s="9" t="str">
        <f t="shared" si="9"/>
        <v>Yordamchi</v>
      </c>
      <c r="W12" s="9" t="str">
        <f t="shared" si="10"/>
        <v>Muammo</v>
      </c>
      <c r="X12" s="9" t="str">
        <f t="shared" si="11"/>
        <v>Normal</v>
      </c>
      <c r="Y12" s="9" t="str">
        <f t="shared" si="12"/>
        <v>Ishlayapti</v>
      </c>
      <c r="Z12" s="9" t="str">
        <f t="shared" si="13"/>
        <v>Yuqori risk</v>
      </c>
      <c r="AA12" s="9" t="str">
        <f t="shared" si="14"/>
        <v>Yordamchi</v>
      </c>
      <c r="AB12" s="9" t="str">
        <f t="shared" si="15"/>
        <v>Muammo</v>
      </c>
      <c r="AC12" s="9" t="str">
        <f t="shared" si="16"/>
        <v>Normal</v>
      </c>
      <c r="AD12" s="9" t="str">
        <f t="shared" si="17"/>
        <v>Ishlayapti</v>
      </c>
      <c r="AE12" s="9" t="str">
        <f t="shared" si="18"/>
        <v>Yuqori risk</v>
      </c>
      <c r="AF12" s="9" t="str">
        <f t="shared" si="19"/>
        <v>Yordamchi</v>
      </c>
      <c r="AG12" s="9" t="str">
        <f t="shared" si="20"/>
        <v>Muammo</v>
      </c>
      <c r="AH12" s="9" t="str">
        <f t="shared" si="21"/>
        <v>Normal</v>
      </c>
      <c r="AI12" s="9" t="str">
        <f t="shared" si="22"/>
        <v>Ishlayapti</v>
      </c>
      <c r="AJ12" s="9" t="str">
        <f t="shared" si="23"/>
        <v>Yuqori risk</v>
      </c>
      <c r="AK12" s="9" t="str">
        <f t="shared" si="24"/>
        <v>Yordamchi</v>
      </c>
      <c r="AL12" s="9" t="str">
        <f t="shared" si="25"/>
        <v>Muammo</v>
      </c>
      <c r="AM12" s="9" t="str">
        <f t="shared" si="26"/>
        <v>Normal</v>
      </c>
      <c r="AN12" s="9" t="str">
        <f t="shared" si="27"/>
        <v>Ishlayapti</v>
      </c>
      <c r="AO12" s="9" t="str">
        <f t="shared" si="28"/>
        <v>Yuqori risk</v>
      </c>
      <c r="AP12" s="9" t="str">
        <f t="shared" si="29"/>
        <v>Yordamchi</v>
      </c>
    </row>
    <row r="13" spans="1:42">
      <c r="A13" s="2" t="s">
        <v>100</v>
      </c>
      <c r="B13" s="2">
        <v>9</v>
      </c>
      <c r="C13" s="2" t="s">
        <v>96</v>
      </c>
      <c r="D13" s="3">
        <v>14798200</v>
      </c>
      <c r="E13" s="3">
        <v>90702000</v>
      </c>
      <c r="F13" s="2" t="s">
        <v>92</v>
      </c>
      <c r="G13" s="2" t="s">
        <v>95</v>
      </c>
      <c r="H13" s="2">
        <v>4</v>
      </c>
      <c r="I13" s="6"/>
      <c r="J13" s="6"/>
      <c r="K13" s="7"/>
      <c r="L13" s="6"/>
      <c r="M13" s="9" t="str">
        <f t="shared" si="0"/>
        <v>Muammo</v>
      </c>
      <c r="N13" s="9" t="str">
        <f t="shared" si="1"/>
        <v>Normal</v>
      </c>
      <c r="O13" s="9" t="str">
        <f t="shared" si="2"/>
        <v>To‘xtagan</v>
      </c>
      <c r="P13" s="9" t="str">
        <f t="shared" si="3"/>
        <v>Yuqori risk</v>
      </c>
      <c r="Q13" s="9" t="str">
        <f t="shared" si="4"/>
        <v>Yordamchi</v>
      </c>
      <c r="R13" s="9" t="str">
        <f t="shared" si="5"/>
        <v>Muammo</v>
      </c>
      <c r="S13" s="9" t="str">
        <f t="shared" si="6"/>
        <v>Normal</v>
      </c>
      <c r="T13" s="9" t="str">
        <f t="shared" si="7"/>
        <v>To‘xtagan</v>
      </c>
      <c r="U13" s="9" t="str">
        <f t="shared" si="8"/>
        <v>Yuqori risk</v>
      </c>
      <c r="V13" s="9" t="str">
        <f t="shared" si="9"/>
        <v>Yordamchi</v>
      </c>
      <c r="W13" s="9" t="str">
        <f t="shared" si="10"/>
        <v>Muammo</v>
      </c>
      <c r="X13" s="9" t="str">
        <f t="shared" si="11"/>
        <v>Normal</v>
      </c>
      <c r="Y13" s="9" t="str">
        <f t="shared" si="12"/>
        <v>To‘xtagan</v>
      </c>
      <c r="Z13" s="9" t="str">
        <f t="shared" si="13"/>
        <v>Yuqori risk</v>
      </c>
      <c r="AA13" s="9" t="str">
        <f t="shared" si="14"/>
        <v>Yordamchi</v>
      </c>
      <c r="AB13" s="9" t="str">
        <f t="shared" si="15"/>
        <v>Muammo</v>
      </c>
      <c r="AC13" s="9" t="str">
        <f t="shared" si="16"/>
        <v>Normal</v>
      </c>
      <c r="AD13" s="9" t="str">
        <f t="shared" si="17"/>
        <v>To‘xtagan</v>
      </c>
      <c r="AE13" s="9" t="str">
        <f t="shared" si="18"/>
        <v>Yuqori risk</v>
      </c>
      <c r="AF13" s="9" t="str">
        <f t="shared" si="19"/>
        <v>Yordamchi</v>
      </c>
      <c r="AG13" s="9" t="str">
        <f t="shared" si="20"/>
        <v>Muammo</v>
      </c>
      <c r="AH13" s="9" t="str">
        <f t="shared" si="21"/>
        <v>Normal</v>
      </c>
      <c r="AI13" s="9" t="str">
        <f t="shared" si="22"/>
        <v>To‘xtagan</v>
      </c>
      <c r="AJ13" s="9" t="str">
        <f t="shared" si="23"/>
        <v>Yuqori risk</v>
      </c>
      <c r="AK13" s="9" t="str">
        <f t="shared" si="24"/>
        <v>Yordamchi</v>
      </c>
      <c r="AL13" s="9" t="str">
        <f t="shared" si="25"/>
        <v>Muammo</v>
      </c>
      <c r="AM13" s="9" t="str">
        <f t="shared" si="26"/>
        <v>Normal</v>
      </c>
      <c r="AN13" s="9" t="str">
        <f t="shared" si="27"/>
        <v>To‘xtagan</v>
      </c>
      <c r="AO13" s="9" t="str">
        <f t="shared" si="28"/>
        <v>Yuqori risk</v>
      </c>
      <c r="AP13" s="9" t="str">
        <f t="shared" si="29"/>
        <v>Yordamchi</v>
      </c>
    </row>
    <row r="14" spans="1:42">
      <c r="A14" s="2" t="s">
        <v>101</v>
      </c>
      <c r="B14" s="2">
        <v>42</v>
      </c>
      <c r="C14" s="2" t="s">
        <v>87</v>
      </c>
      <c r="D14" s="3">
        <v>14976000</v>
      </c>
      <c r="E14" s="3">
        <v>152288000</v>
      </c>
      <c r="F14" s="2" t="s">
        <v>45</v>
      </c>
      <c r="G14" s="2" t="s">
        <v>91</v>
      </c>
      <c r="H14" s="2">
        <v>3</v>
      </c>
      <c r="I14" s="6"/>
      <c r="J14" s="6"/>
      <c r="K14" s="7"/>
      <c r="L14" s="6"/>
      <c r="M14" s="9" t="str">
        <f t="shared" si="0"/>
        <v>Muammo</v>
      </c>
      <c r="N14" s="9" t="str">
        <f t="shared" si="1"/>
        <v>Normal</v>
      </c>
      <c r="O14" s="9" t="str">
        <f t="shared" si="2"/>
        <v>Ishlayapti</v>
      </c>
      <c r="P14" s="9" t="str">
        <f t="shared" si="3"/>
        <v>Yuqori risk</v>
      </c>
      <c r="Q14" s="9" t="str">
        <f t="shared" si="4"/>
        <v>Yordamchi</v>
      </c>
      <c r="R14" s="9" t="str">
        <f t="shared" si="5"/>
        <v>Muammo</v>
      </c>
      <c r="S14" s="9" t="str">
        <f t="shared" si="6"/>
        <v>Normal</v>
      </c>
      <c r="T14" s="9" t="str">
        <f t="shared" si="7"/>
        <v>Ishlayapti</v>
      </c>
      <c r="U14" s="9" t="str">
        <f t="shared" si="8"/>
        <v>Yuqori risk</v>
      </c>
      <c r="V14" s="9" t="str">
        <f t="shared" si="9"/>
        <v>Yordamchi</v>
      </c>
      <c r="W14" s="9" t="str">
        <f t="shared" si="10"/>
        <v>Muammo</v>
      </c>
      <c r="X14" s="9" t="str">
        <f t="shared" si="11"/>
        <v>Normal</v>
      </c>
      <c r="Y14" s="9" t="str">
        <f t="shared" si="12"/>
        <v>Ishlayapti</v>
      </c>
      <c r="Z14" s="9" t="str">
        <f t="shared" si="13"/>
        <v>Yuqori risk</v>
      </c>
      <c r="AA14" s="9" t="str">
        <f t="shared" si="14"/>
        <v>Yordamchi</v>
      </c>
      <c r="AB14" s="9" t="str">
        <f t="shared" si="15"/>
        <v>Muammo</v>
      </c>
      <c r="AC14" s="9" t="str">
        <f t="shared" si="16"/>
        <v>Normal</v>
      </c>
      <c r="AD14" s="9" t="str">
        <f t="shared" si="17"/>
        <v>Ishlayapti</v>
      </c>
      <c r="AE14" s="9" t="str">
        <f t="shared" si="18"/>
        <v>Yuqori risk</v>
      </c>
      <c r="AF14" s="9" t="str">
        <f t="shared" si="19"/>
        <v>Yordamchi</v>
      </c>
      <c r="AG14" s="9" t="str">
        <f t="shared" si="20"/>
        <v>Muammo</v>
      </c>
      <c r="AH14" s="9" t="str">
        <f t="shared" si="21"/>
        <v>Normal</v>
      </c>
      <c r="AI14" s="9" t="str">
        <f t="shared" si="22"/>
        <v>Ishlayapti</v>
      </c>
      <c r="AJ14" s="9" t="str">
        <f t="shared" si="23"/>
        <v>Yuqori risk</v>
      </c>
      <c r="AK14" s="9" t="str">
        <f t="shared" si="24"/>
        <v>Yordamchi</v>
      </c>
      <c r="AL14" s="9" t="str">
        <f t="shared" si="25"/>
        <v>Muammo</v>
      </c>
      <c r="AM14" s="9" t="str">
        <f t="shared" si="26"/>
        <v>Normal</v>
      </c>
      <c r="AN14" s="9" t="str">
        <f t="shared" si="27"/>
        <v>Ishlayapti</v>
      </c>
      <c r="AO14" s="9" t="str">
        <f t="shared" si="28"/>
        <v>Yuqori risk</v>
      </c>
      <c r="AP14" s="9" t="str">
        <f t="shared" si="29"/>
        <v>Yordamchi</v>
      </c>
    </row>
    <row r="15" spans="1:42">
      <c r="A15" s="2" t="s">
        <v>102</v>
      </c>
      <c r="B15" s="2">
        <v>44</v>
      </c>
      <c r="C15" s="2" t="s">
        <v>90</v>
      </c>
      <c r="D15" s="3">
        <v>6803400</v>
      </c>
      <c r="E15" s="3">
        <v>158804000</v>
      </c>
      <c r="F15" s="2" t="s">
        <v>45</v>
      </c>
      <c r="G15" s="2" t="s">
        <v>91</v>
      </c>
      <c r="H15" s="2">
        <v>19</v>
      </c>
      <c r="I15" s="6"/>
      <c r="J15" s="6"/>
      <c r="K15" s="7"/>
      <c r="L15" s="6"/>
      <c r="M15" s="9" t="str">
        <f t="shared" si="0"/>
        <v>Muammo</v>
      </c>
      <c r="N15" s="9" t="str">
        <f t="shared" si="1"/>
        <v>Normal</v>
      </c>
      <c r="O15" s="9" t="str">
        <f t="shared" si="2"/>
        <v>Ishlayapti</v>
      </c>
      <c r="P15" s="9" t="str">
        <f t="shared" si="3"/>
        <v>Yuqori risk</v>
      </c>
      <c r="Q15" s="9" t="str">
        <f t="shared" si="4"/>
        <v>Yordamchi</v>
      </c>
      <c r="R15" s="9" t="str">
        <f t="shared" si="5"/>
        <v>Muammo</v>
      </c>
      <c r="S15" s="9" t="str">
        <f t="shared" si="6"/>
        <v>Normal</v>
      </c>
      <c r="T15" s="9" t="str">
        <f t="shared" si="7"/>
        <v>Ishlayapti</v>
      </c>
      <c r="U15" s="9" t="str">
        <f t="shared" si="8"/>
        <v>Yuqori risk</v>
      </c>
      <c r="V15" s="9" t="str">
        <f t="shared" si="9"/>
        <v>Yordamchi</v>
      </c>
      <c r="W15" s="9" t="str">
        <f t="shared" si="10"/>
        <v>Muammo</v>
      </c>
      <c r="X15" s="9" t="str">
        <f t="shared" si="11"/>
        <v>Normal</v>
      </c>
      <c r="Y15" s="9" t="str">
        <f t="shared" si="12"/>
        <v>Ishlayapti</v>
      </c>
      <c r="Z15" s="9" t="str">
        <f t="shared" si="13"/>
        <v>Yuqori risk</v>
      </c>
      <c r="AA15" s="9" t="str">
        <f t="shared" si="14"/>
        <v>Yordamchi</v>
      </c>
      <c r="AB15" s="9" t="str">
        <f t="shared" si="15"/>
        <v>Muammo</v>
      </c>
      <c r="AC15" s="9" t="str">
        <f t="shared" si="16"/>
        <v>Normal</v>
      </c>
      <c r="AD15" s="9" t="str">
        <f t="shared" si="17"/>
        <v>Ishlayapti</v>
      </c>
      <c r="AE15" s="9" t="str">
        <f t="shared" si="18"/>
        <v>Yuqori risk</v>
      </c>
      <c r="AF15" s="9" t="str">
        <f t="shared" si="19"/>
        <v>Yordamchi</v>
      </c>
      <c r="AG15" s="9" t="str">
        <f t="shared" si="20"/>
        <v>Muammo</v>
      </c>
      <c r="AH15" s="9" t="str">
        <f t="shared" si="21"/>
        <v>Normal</v>
      </c>
      <c r="AI15" s="9" t="str">
        <f t="shared" si="22"/>
        <v>Ishlayapti</v>
      </c>
      <c r="AJ15" s="9" t="str">
        <f t="shared" si="23"/>
        <v>Yuqori risk</v>
      </c>
      <c r="AK15" s="9" t="str">
        <f t="shared" si="24"/>
        <v>Yordamchi</v>
      </c>
      <c r="AL15" s="9" t="str">
        <f t="shared" si="25"/>
        <v>Muammo</v>
      </c>
      <c r="AM15" s="9" t="str">
        <f t="shared" si="26"/>
        <v>Normal</v>
      </c>
      <c r="AN15" s="9" t="str">
        <f t="shared" si="27"/>
        <v>Ishlayapti</v>
      </c>
      <c r="AO15" s="9" t="str">
        <f t="shared" si="28"/>
        <v>Yuqori risk</v>
      </c>
      <c r="AP15" s="9" t="str">
        <f t="shared" si="29"/>
        <v>Yordamchi</v>
      </c>
    </row>
    <row r="16" spans="1:42">
      <c r="A16" s="2" t="s">
        <v>103</v>
      </c>
      <c r="B16" s="2">
        <v>24</v>
      </c>
      <c r="C16" s="2" t="s">
        <v>98</v>
      </c>
      <c r="D16" s="3">
        <v>16622200</v>
      </c>
      <c r="E16" s="3">
        <v>137561000</v>
      </c>
      <c r="F16" s="2" t="s">
        <v>45</v>
      </c>
      <c r="G16" s="2" t="s">
        <v>95</v>
      </c>
      <c r="H16" s="2">
        <v>10</v>
      </c>
      <c r="I16" s="6"/>
      <c r="J16" s="6"/>
      <c r="K16" s="7"/>
      <c r="L16" s="6"/>
      <c r="M16" s="9" t="str">
        <f t="shared" si="0"/>
        <v>Muammo</v>
      </c>
      <c r="N16" s="9" t="str">
        <f t="shared" si="1"/>
        <v>Normal</v>
      </c>
      <c r="O16" s="9" t="str">
        <f t="shared" si="2"/>
        <v>Ishlayapti</v>
      </c>
      <c r="P16" s="9" t="str">
        <f t="shared" si="3"/>
        <v>Yuqori risk</v>
      </c>
      <c r="Q16" s="9" t="str">
        <f t="shared" si="4"/>
        <v>Yordamchi</v>
      </c>
      <c r="R16" s="9" t="str">
        <f t="shared" si="5"/>
        <v>Muammo</v>
      </c>
      <c r="S16" s="9" t="str">
        <f t="shared" si="6"/>
        <v>Normal</v>
      </c>
      <c r="T16" s="9" t="str">
        <f t="shared" si="7"/>
        <v>Ishlayapti</v>
      </c>
      <c r="U16" s="9" t="str">
        <f t="shared" si="8"/>
        <v>Yuqori risk</v>
      </c>
      <c r="V16" s="9" t="str">
        <f t="shared" si="9"/>
        <v>Yordamchi</v>
      </c>
      <c r="W16" s="9" t="str">
        <f t="shared" si="10"/>
        <v>Muammo</v>
      </c>
      <c r="X16" s="9" t="str">
        <f t="shared" si="11"/>
        <v>Normal</v>
      </c>
      <c r="Y16" s="9" t="str">
        <f t="shared" si="12"/>
        <v>Ishlayapti</v>
      </c>
      <c r="Z16" s="9" t="str">
        <f t="shared" si="13"/>
        <v>Yuqori risk</v>
      </c>
      <c r="AA16" s="9" t="str">
        <f t="shared" si="14"/>
        <v>Yordamchi</v>
      </c>
      <c r="AB16" s="9" t="str">
        <f t="shared" si="15"/>
        <v>Muammo</v>
      </c>
      <c r="AC16" s="9" t="str">
        <f t="shared" si="16"/>
        <v>Normal</v>
      </c>
      <c r="AD16" s="9" t="str">
        <f t="shared" si="17"/>
        <v>Ishlayapti</v>
      </c>
      <c r="AE16" s="9" t="str">
        <f t="shared" si="18"/>
        <v>Yuqori risk</v>
      </c>
      <c r="AF16" s="9" t="str">
        <f t="shared" si="19"/>
        <v>Yordamchi</v>
      </c>
      <c r="AG16" s="9" t="str">
        <f t="shared" si="20"/>
        <v>Muammo</v>
      </c>
      <c r="AH16" s="9" t="str">
        <f t="shared" si="21"/>
        <v>Normal</v>
      </c>
      <c r="AI16" s="9" t="str">
        <f t="shared" si="22"/>
        <v>Ishlayapti</v>
      </c>
      <c r="AJ16" s="9" t="str">
        <f t="shared" si="23"/>
        <v>Yuqori risk</v>
      </c>
      <c r="AK16" s="9" t="str">
        <f t="shared" si="24"/>
        <v>Yordamchi</v>
      </c>
      <c r="AL16" s="9" t="str">
        <f t="shared" si="25"/>
        <v>Muammo</v>
      </c>
      <c r="AM16" s="9" t="str">
        <f t="shared" si="26"/>
        <v>Normal</v>
      </c>
      <c r="AN16" s="9" t="str">
        <f t="shared" si="27"/>
        <v>Ishlayapti</v>
      </c>
      <c r="AO16" s="9" t="str">
        <f t="shared" si="28"/>
        <v>Yuqori risk</v>
      </c>
      <c r="AP16" s="9" t="str">
        <f t="shared" si="29"/>
        <v>Yordamchi</v>
      </c>
    </row>
    <row r="17" spans="1:42">
      <c r="A17" s="2" t="s">
        <v>104</v>
      </c>
      <c r="B17" s="2">
        <v>39</v>
      </c>
      <c r="C17" s="2" t="s">
        <v>93</v>
      </c>
      <c r="D17" s="3">
        <v>4583000</v>
      </c>
      <c r="E17" s="3">
        <v>139406000</v>
      </c>
      <c r="F17" s="2" t="s">
        <v>45</v>
      </c>
      <c r="G17" s="2" t="s">
        <v>88</v>
      </c>
      <c r="H17" s="2">
        <v>0</v>
      </c>
      <c r="I17" s="6"/>
      <c r="J17" s="6"/>
      <c r="K17" s="7"/>
      <c r="L17" s="6"/>
      <c r="M17" s="9" t="str">
        <f t="shared" si="0"/>
        <v>Muammo</v>
      </c>
      <c r="N17" s="9" t="str">
        <f t="shared" si="1"/>
        <v>Normal</v>
      </c>
      <c r="O17" s="9" t="str">
        <f t="shared" si="2"/>
        <v>Ishlayapti</v>
      </c>
      <c r="P17" s="9" t="str">
        <f t="shared" si="3"/>
        <v>Yuqori risk</v>
      </c>
      <c r="Q17" s="9" t="str">
        <f t="shared" si="4"/>
        <v>Yordamchi</v>
      </c>
      <c r="R17" s="9" t="str">
        <f t="shared" si="5"/>
        <v>Muammo</v>
      </c>
      <c r="S17" s="9" t="str">
        <f t="shared" si="6"/>
        <v>Normal</v>
      </c>
      <c r="T17" s="9" t="str">
        <f t="shared" si="7"/>
        <v>Ishlayapti</v>
      </c>
      <c r="U17" s="9" t="str">
        <f t="shared" si="8"/>
        <v>Yuqori risk</v>
      </c>
      <c r="V17" s="9" t="str">
        <f t="shared" si="9"/>
        <v>Yordamchi</v>
      </c>
      <c r="W17" s="9" t="str">
        <f t="shared" si="10"/>
        <v>Muammo</v>
      </c>
      <c r="X17" s="9" t="str">
        <f t="shared" si="11"/>
        <v>Normal</v>
      </c>
      <c r="Y17" s="9" t="str">
        <f t="shared" si="12"/>
        <v>Ishlayapti</v>
      </c>
      <c r="Z17" s="9" t="str">
        <f t="shared" si="13"/>
        <v>Yuqori risk</v>
      </c>
      <c r="AA17" s="9" t="str">
        <f t="shared" si="14"/>
        <v>Yordamchi</v>
      </c>
      <c r="AB17" s="9" t="str">
        <f t="shared" si="15"/>
        <v>Muammo</v>
      </c>
      <c r="AC17" s="9" t="str">
        <f t="shared" si="16"/>
        <v>Normal</v>
      </c>
      <c r="AD17" s="9" t="str">
        <f t="shared" si="17"/>
        <v>Ishlayapti</v>
      </c>
      <c r="AE17" s="9" t="str">
        <f t="shared" si="18"/>
        <v>Yuqori risk</v>
      </c>
      <c r="AF17" s="9" t="str">
        <f t="shared" si="19"/>
        <v>Yordamchi</v>
      </c>
      <c r="AG17" s="9" t="str">
        <f t="shared" si="20"/>
        <v>Muammo</v>
      </c>
      <c r="AH17" s="9" t="str">
        <f t="shared" si="21"/>
        <v>Normal</v>
      </c>
      <c r="AI17" s="9" t="str">
        <f t="shared" si="22"/>
        <v>Ishlayapti</v>
      </c>
      <c r="AJ17" s="9" t="str">
        <f t="shared" si="23"/>
        <v>Yuqori risk</v>
      </c>
      <c r="AK17" s="9" t="str">
        <f t="shared" si="24"/>
        <v>Yordamchi</v>
      </c>
      <c r="AL17" s="9" t="str">
        <f t="shared" si="25"/>
        <v>Muammo</v>
      </c>
      <c r="AM17" s="9" t="str">
        <f t="shared" si="26"/>
        <v>Normal</v>
      </c>
      <c r="AN17" s="9" t="str">
        <f t="shared" si="27"/>
        <v>Ishlayapti</v>
      </c>
      <c r="AO17" s="9" t="str">
        <f t="shared" si="28"/>
        <v>Yuqori risk</v>
      </c>
      <c r="AP17" s="9" t="str">
        <f t="shared" si="29"/>
        <v>Yordamchi</v>
      </c>
    </row>
    <row r="18" spans="1:42">
      <c r="A18" s="2" t="s">
        <v>105</v>
      </c>
      <c r="B18" s="2">
        <v>26</v>
      </c>
      <c r="C18" s="2" t="s">
        <v>94</v>
      </c>
      <c r="D18" s="3">
        <v>4350900</v>
      </c>
      <c r="E18" s="3">
        <v>81564000</v>
      </c>
      <c r="F18" s="2" t="s">
        <v>92</v>
      </c>
      <c r="G18" s="2" t="s">
        <v>88</v>
      </c>
      <c r="H18" s="2">
        <v>7</v>
      </c>
      <c r="I18" s="6"/>
      <c r="J18" s="6"/>
      <c r="K18" s="7"/>
      <c r="L18" s="6"/>
      <c r="M18" s="9" t="str">
        <f t="shared" si="0"/>
        <v>Muammo</v>
      </c>
      <c r="N18" s="9" t="str">
        <f t="shared" si="1"/>
        <v>Normal</v>
      </c>
      <c r="O18" s="9" t="str">
        <f t="shared" si="2"/>
        <v>To‘xtagan</v>
      </c>
      <c r="P18" s="9" t="str">
        <f t="shared" si="3"/>
        <v>Yuqori risk</v>
      </c>
      <c r="Q18" s="9" t="str">
        <f t="shared" si="4"/>
        <v>Yordamchi</v>
      </c>
      <c r="R18" s="9" t="str">
        <f t="shared" si="5"/>
        <v>Muammo</v>
      </c>
      <c r="S18" s="9" t="str">
        <f t="shared" si="6"/>
        <v>Normal</v>
      </c>
      <c r="T18" s="9" t="str">
        <f t="shared" si="7"/>
        <v>To‘xtagan</v>
      </c>
      <c r="U18" s="9" t="str">
        <f t="shared" si="8"/>
        <v>Yuqori risk</v>
      </c>
      <c r="V18" s="9" t="str">
        <f t="shared" si="9"/>
        <v>Yordamchi</v>
      </c>
      <c r="W18" s="9" t="str">
        <f t="shared" si="10"/>
        <v>Muammo</v>
      </c>
      <c r="X18" s="9" t="str">
        <f t="shared" si="11"/>
        <v>Normal</v>
      </c>
      <c r="Y18" s="9" t="str">
        <f t="shared" si="12"/>
        <v>To‘xtagan</v>
      </c>
      <c r="Z18" s="9" t="str">
        <f t="shared" si="13"/>
        <v>Yuqori risk</v>
      </c>
      <c r="AA18" s="9" t="str">
        <f t="shared" si="14"/>
        <v>Yordamchi</v>
      </c>
      <c r="AB18" s="9" t="str">
        <f t="shared" si="15"/>
        <v>Muammo</v>
      </c>
      <c r="AC18" s="9" t="str">
        <f t="shared" si="16"/>
        <v>Normal</v>
      </c>
      <c r="AD18" s="9" t="str">
        <f t="shared" si="17"/>
        <v>To‘xtagan</v>
      </c>
      <c r="AE18" s="9" t="str">
        <f t="shared" si="18"/>
        <v>Yuqori risk</v>
      </c>
      <c r="AF18" s="9" t="str">
        <f t="shared" si="19"/>
        <v>Yordamchi</v>
      </c>
      <c r="AG18" s="9" t="str">
        <f t="shared" si="20"/>
        <v>Muammo</v>
      </c>
      <c r="AH18" s="9" t="str">
        <f t="shared" si="21"/>
        <v>Normal</v>
      </c>
      <c r="AI18" s="9" t="str">
        <f t="shared" si="22"/>
        <v>To‘xtagan</v>
      </c>
      <c r="AJ18" s="9" t="str">
        <f t="shared" si="23"/>
        <v>Yuqori risk</v>
      </c>
      <c r="AK18" s="9" t="str">
        <f t="shared" si="24"/>
        <v>Yordamchi</v>
      </c>
      <c r="AL18" s="9" t="str">
        <f t="shared" si="25"/>
        <v>Muammo</v>
      </c>
      <c r="AM18" s="9" t="str">
        <f t="shared" si="26"/>
        <v>Normal</v>
      </c>
      <c r="AN18" s="9" t="str">
        <f t="shared" si="27"/>
        <v>To‘xtagan</v>
      </c>
      <c r="AO18" s="9" t="str">
        <f t="shared" si="28"/>
        <v>Yuqori risk</v>
      </c>
      <c r="AP18" s="9" t="str">
        <f t="shared" si="29"/>
        <v>Yordamchi</v>
      </c>
    </row>
    <row r="19" spans="1:42">
      <c r="A19" s="2" t="s">
        <v>106</v>
      </c>
      <c r="B19" s="2">
        <v>23</v>
      </c>
      <c r="C19" s="2" t="s">
        <v>96</v>
      </c>
      <c r="D19" s="3">
        <v>3665300</v>
      </c>
      <c r="E19" s="3">
        <v>117490000</v>
      </c>
      <c r="F19" s="2" t="s">
        <v>45</v>
      </c>
      <c r="G19" s="2" t="s">
        <v>95</v>
      </c>
      <c r="H19" s="2">
        <v>2</v>
      </c>
      <c r="I19" s="6"/>
      <c r="J19" s="6"/>
      <c r="K19" s="7"/>
      <c r="L19" s="6"/>
      <c r="M19" s="9" t="str">
        <f t="shared" si="0"/>
        <v>Muammo</v>
      </c>
      <c r="N19" s="9" t="str">
        <f t="shared" si="1"/>
        <v>Normal</v>
      </c>
      <c r="O19" s="9" t="str">
        <f t="shared" si="2"/>
        <v>Ishlayapti</v>
      </c>
      <c r="P19" s="9" t="str">
        <f t="shared" si="3"/>
        <v>Yuqori risk</v>
      </c>
      <c r="Q19" s="9" t="str">
        <f t="shared" si="4"/>
        <v>Yordamchi</v>
      </c>
      <c r="R19" s="9" t="str">
        <f t="shared" si="5"/>
        <v>Muammo</v>
      </c>
      <c r="S19" s="9" t="str">
        <f t="shared" si="6"/>
        <v>Normal</v>
      </c>
      <c r="T19" s="9" t="str">
        <f t="shared" si="7"/>
        <v>Ishlayapti</v>
      </c>
      <c r="U19" s="9" t="str">
        <f t="shared" si="8"/>
        <v>Yuqori risk</v>
      </c>
      <c r="V19" s="9" t="str">
        <f t="shared" si="9"/>
        <v>Yordamchi</v>
      </c>
      <c r="W19" s="9" t="str">
        <f t="shared" si="10"/>
        <v>Muammo</v>
      </c>
      <c r="X19" s="9" t="str">
        <f t="shared" si="11"/>
        <v>Normal</v>
      </c>
      <c r="Y19" s="9" t="str">
        <f t="shared" si="12"/>
        <v>Ishlayapti</v>
      </c>
      <c r="Z19" s="9" t="str">
        <f t="shared" si="13"/>
        <v>Yuqori risk</v>
      </c>
      <c r="AA19" s="9" t="str">
        <f t="shared" si="14"/>
        <v>Yordamchi</v>
      </c>
      <c r="AB19" s="9" t="str">
        <f t="shared" si="15"/>
        <v>Muammo</v>
      </c>
      <c r="AC19" s="9" t="str">
        <f t="shared" si="16"/>
        <v>Normal</v>
      </c>
      <c r="AD19" s="9" t="str">
        <f t="shared" si="17"/>
        <v>Ishlayapti</v>
      </c>
      <c r="AE19" s="9" t="str">
        <f t="shared" si="18"/>
        <v>Yuqori risk</v>
      </c>
      <c r="AF19" s="9" t="str">
        <f t="shared" si="19"/>
        <v>Yordamchi</v>
      </c>
      <c r="AG19" s="9" t="str">
        <f t="shared" si="20"/>
        <v>Muammo</v>
      </c>
      <c r="AH19" s="9" t="str">
        <f t="shared" si="21"/>
        <v>Normal</v>
      </c>
      <c r="AI19" s="9" t="str">
        <f t="shared" si="22"/>
        <v>Ishlayapti</v>
      </c>
      <c r="AJ19" s="9" t="str">
        <f t="shared" si="23"/>
        <v>Yuqori risk</v>
      </c>
      <c r="AK19" s="9" t="str">
        <f t="shared" si="24"/>
        <v>Yordamchi</v>
      </c>
      <c r="AL19" s="9" t="str">
        <f t="shared" si="25"/>
        <v>Muammo</v>
      </c>
      <c r="AM19" s="9" t="str">
        <f t="shared" si="26"/>
        <v>Normal</v>
      </c>
      <c r="AN19" s="9" t="str">
        <f t="shared" si="27"/>
        <v>Ishlayapti</v>
      </c>
      <c r="AO19" s="9" t="str">
        <f t="shared" si="28"/>
        <v>Yuqori risk</v>
      </c>
      <c r="AP19" s="9" t="str">
        <f t="shared" si="29"/>
        <v>Yordamchi</v>
      </c>
    </row>
    <row r="20" spans="1:42">
      <c r="A20" s="2" t="s">
        <v>107</v>
      </c>
      <c r="B20" s="2">
        <v>20</v>
      </c>
      <c r="C20" s="2" t="s">
        <v>96</v>
      </c>
      <c r="D20" s="3">
        <v>17137300</v>
      </c>
      <c r="E20" s="3">
        <v>87552000</v>
      </c>
      <c r="F20" s="2" t="s">
        <v>92</v>
      </c>
      <c r="G20" s="2" t="s">
        <v>88</v>
      </c>
      <c r="H20" s="2">
        <v>8</v>
      </c>
      <c r="I20" s="6"/>
      <c r="J20" s="6"/>
      <c r="K20" s="7"/>
      <c r="L20" s="6"/>
      <c r="M20" s="9" t="str">
        <f t="shared" si="0"/>
        <v>Muammo</v>
      </c>
      <c r="N20" s="9" t="str">
        <f t="shared" si="1"/>
        <v>Normal</v>
      </c>
      <c r="O20" s="9" t="str">
        <f t="shared" si="2"/>
        <v>To‘xtagan</v>
      </c>
      <c r="P20" s="9" t="str">
        <f t="shared" si="3"/>
        <v>Yuqori risk</v>
      </c>
      <c r="Q20" s="9" t="str">
        <f t="shared" si="4"/>
        <v>Yordamchi</v>
      </c>
      <c r="R20" s="9" t="str">
        <f t="shared" si="5"/>
        <v>Muammo</v>
      </c>
      <c r="S20" s="9" t="str">
        <f t="shared" si="6"/>
        <v>Normal</v>
      </c>
      <c r="T20" s="9" t="str">
        <f t="shared" si="7"/>
        <v>To‘xtagan</v>
      </c>
      <c r="U20" s="9" t="str">
        <f t="shared" si="8"/>
        <v>Yuqori risk</v>
      </c>
      <c r="V20" s="9" t="str">
        <f t="shared" si="9"/>
        <v>Yordamchi</v>
      </c>
      <c r="W20" s="9" t="str">
        <f t="shared" si="10"/>
        <v>Muammo</v>
      </c>
      <c r="X20" s="9" t="str">
        <f t="shared" si="11"/>
        <v>Normal</v>
      </c>
      <c r="Y20" s="9" t="str">
        <f t="shared" si="12"/>
        <v>To‘xtagan</v>
      </c>
      <c r="Z20" s="9" t="str">
        <f t="shared" si="13"/>
        <v>Yuqori risk</v>
      </c>
      <c r="AA20" s="9" t="str">
        <f t="shared" si="14"/>
        <v>Yordamchi</v>
      </c>
      <c r="AB20" s="9" t="str">
        <f t="shared" si="15"/>
        <v>Muammo</v>
      </c>
      <c r="AC20" s="9" t="str">
        <f t="shared" si="16"/>
        <v>Normal</v>
      </c>
      <c r="AD20" s="9" t="str">
        <f t="shared" si="17"/>
        <v>To‘xtagan</v>
      </c>
      <c r="AE20" s="9" t="str">
        <f t="shared" si="18"/>
        <v>Yuqori risk</v>
      </c>
      <c r="AF20" s="9" t="str">
        <f t="shared" si="19"/>
        <v>Yordamchi</v>
      </c>
      <c r="AG20" s="9" t="str">
        <f t="shared" si="20"/>
        <v>Muammo</v>
      </c>
      <c r="AH20" s="9" t="str">
        <f t="shared" si="21"/>
        <v>Normal</v>
      </c>
      <c r="AI20" s="9" t="str">
        <f t="shared" si="22"/>
        <v>To‘xtagan</v>
      </c>
      <c r="AJ20" s="9" t="str">
        <f t="shared" si="23"/>
        <v>Yuqori risk</v>
      </c>
      <c r="AK20" s="9" t="str">
        <f t="shared" si="24"/>
        <v>Yordamchi</v>
      </c>
      <c r="AL20" s="9" t="str">
        <f t="shared" si="25"/>
        <v>Muammo</v>
      </c>
      <c r="AM20" s="9" t="str">
        <f t="shared" si="26"/>
        <v>Normal</v>
      </c>
      <c r="AN20" s="9" t="str">
        <f t="shared" si="27"/>
        <v>To‘xtagan</v>
      </c>
      <c r="AO20" s="9" t="str">
        <f t="shared" si="28"/>
        <v>Yuqori risk</v>
      </c>
      <c r="AP20" s="9" t="str">
        <f t="shared" si="29"/>
        <v>Yordamchi</v>
      </c>
    </row>
    <row r="21" spans="1:42">
      <c r="A21" s="2" t="s">
        <v>108</v>
      </c>
      <c r="B21" s="2">
        <v>34</v>
      </c>
      <c r="C21" s="2" t="s">
        <v>90</v>
      </c>
      <c r="D21" s="3">
        <v>12656300</v>
      </c>
      <c r="E21" s="3">
        <v>157078000</v>
      </c>
      <c r="F21" s="2" t="s">
        <v>45</v>
      </c>
      <c r="G21" s="2" t="s">
        <v>95</v>
      </c>
      <c r="H21" s="2">
        <v>2</v>
      </c>
      <c r="I21" s="6"/>
      <c r="J21" s="6"/>
      <c r="K21" s="7"/>
      <c r="L21" s="6"/>
      <c r="M21" s="9" t="str">
        <f t="shared" si="0"/>
        <v>Muammo</v>
      </c>
      <c r="N21" s="9" t="str">
        <f t="shared" si="1"/>
        <v>Normal</v>
      </c>
      <c r="O21" s="9" t="str">
        <f t="shared" si="2"/>
        <v>Ishlayapti</v>
      </c>
      <c r="P21" s="9" t="str">
        <f t="shared" si="3"/>
        <v>Yuqori risk</v>
      </c>
      <c r="Q21" s="9" t="str">
        <f t="shared" si="4"/>
        <v>Yordamchi</v>
      </c>
      <c r="R21" s="9" t="str">
        <f t="shared" si="5"/>
        <v>Muammo</v>
      </c>
      <c r="S21" s="9" t="str">
        <f t="shared" si="6"/>
        <v>Normal</v>
      </c>
      <c r="T21" s="9" t="str">
        <f t="shared" si="7"/>
        <v>Ishlayapti</v>
      </c>
      <c r="U21" s="9" t="str">
        <f t="shared" si="8"/>
        <v>Yuqori risk</v>
      </c>
      <c r="V21" s="9" t="str">
        <f t="shared" si="9"/>
        <v>Yordamchi</v>
      </c>
      <c r="W21" s="9" t="str">
        <f t="shared" si="10"/>
        <v>Muammo</v>
      </c>
      <c r="X21" s="9" t="str">
        <f t="shared" si="11"/>
        <v>Normal</v>
      </c>
      <c r="Y21" s="9" t="str">
        <f t="shared" si="12"/>
        <v>Ishlayapti</v>
      </c>
      <c r="Z21" s="9" t="str">
        <f t="shared" si="13"/>
        <v>Yuqori risk</v>
      </c>
      <c r="AA21" s="9" t="str">
        <f t="shared" si="14"/>
        <v>Yordamchi</v>
      </c>
      <c r="AB21" s="9" t="str">
        <f t="shared" si="15"/>
        <v>Muammo</v>
      </c>
      <c r="AC21" s="9" t="str">
        <f t="shared" si="16"/>
        <v>Normal</v>
      </c>
      <c r="AD21" s="9" t="str">
        <f t="shared" si="17"/>
        <v>Ishlayapti</v>
      </c>
      <c r="AE21" s="9" t="str">
        <f t="shared" si="18"/>
        <v>Yuqori risk</v>
      </c>
      <c r="AF21" s="9" t="str">
        <f t="shared" si="19"/>
        <v>Yordamchi</v>
      </c>
      <c r="AG21" s="9" t="str">
        <f t="shared" si="20"/>
        <v>Muammo</v>
      </c>
      <c r="AH21" s="9" t="str">
        <f t="shared" si="21"/>
        <v>Normal</v>
      </c>
      <c r="AI21" s="9" t="str">
        <f t="shared" si="22"/>
        <v>Ishlayapti</v>
      </c>
      <c r="AJ21" s="9" t="str">
        <f t="shared" si="23"/>
        <v>Yuqori risk</v>
      </c>
      <c r="AK21" s="9" t="str">
        <f t="shared" si="24"/>
        <v>Yordamchi</v>
      </c>
      <c r="AL21" s="9" t="str">
        <f t="shared" si="25"/>
        <v>Muammo</v>
      </c>
      <c r="AM21" s="9" t="str">
        <f t="shared" si="26"/>
        <v>Normal</v>
      </c>
      <c r="AN21" s="9" t="str">
        <f t="shared" si="27"/>
        <v>Ishlayapti</v>
      </c>
      <c r="AO21" s="9" t="str">
        <f t="shared" si="28"/>
        <v>Yuqori risk</v>
      </c>
      <c r="AP21" s="9" t="str">
        <f t="shared" si="29"/>
        <v>Yordamchi</v>
      </c>
    </row>
    <row r="22" spans="1:42">
      <c r="A22" s="2" t="s">
        <v>109</v>
      </c>
      <c r="B22" s="2">
        <v>41</v>
      </c>
      <c r="C22" s="2" t="s">
        <v>93</v>
      </c>
      <c r="D22" s="3">
        <v>18850000</v>
      </c>
      <c r="E22" s="3">
        <v>123468000</v>
      </c>
      <c r="F22" s="2" t="s">
        <v>45</v>
      </c>
      <c r="G22" s="2" t="s">
        <v>91</v>
      </c>
      <c r="H22" s="2">
        <v>2</v>
      </c>
      <c r="I22" s="6"/>
      <c r="J22" s="6"/>
      <c r="K22" s="7"/>
      <c r="L22" s="6"/>
      <c r="M22" s="9" t="str">
        <f t="shared" si="0"/>
        <v>Muammo</v>
      </c>
      <c r="N22" s="9" t="str">
        <f t="shared" si="1"/>
        <v>Normal</v>
      </c>
      <c r="O22" s="9" t="str">
        <f t="shared" si="2"/>
        <v>Ishlayapti</v>
      </c>
      <c r="P22" s="9" t="str">
        <f t="shared" si="3"/>
        <v>Yuqori risk</v>
      </c>
      <c r="Q22" s="9" t="str">
        <f t="shared" si="4"/>
        <v>Yordamchi</v>
      </c>
      <c r="R22" s="9" t="str">
        <f t="shared" si="5"/>
        <v>Muammo</v>
      </c>
      <c r="S22" s="9" t="str">
        <f t="shared" si="6"/>
        <v>Normal</v>
      </c>
      <c r="T22" s="9" t="str">
        <f t="shared" si="7"/>
        <v>Ishlayapti</v>
      </c>
      <c r="U22" s="9" t="str">
        <f t="shared" si="8"/>
        <v>Yuqori risk</v>
      </c>
      <c r="V22" s="9" t="str">
        <f t="shared" si="9"/>
        <v>Yordamchi</v>
      </c>
      <c r="W22" s="9" t="str">
        <f t="shared" si="10"/>
        <v>Muammo</v>
      </c>
      <c r="X22" s="9" t="str">
        <f t="shared" si="11"/>
        <v>Normal</v>
      </c>
      <c r="Y22" s="9" t="str">
        <f t="shared" si="12"/>
        <v>Ishlayapti</v>
      </c>
      <c r="Z22" s="9" t="str">
        <f t="shared" si="13"/>
        <v>Yuqori risk</v>
      </c>
      <c r="AA22" s="9" t="str">
        <f t="shared" si="14"/>
        <v>Yordamchi</v>
      </c>
      <c r="AB22" s="9" t="str">
        <f t="shared" si="15"/>
        <v>Muammo</v>
      </c>
      <c r="AC22" s="9" t="str">
        <f t="shared" si="16"/>
        <v>Normal</v>
      </c>
      <c r="AD22" s="9" t="str">
        <f t="shared" si="17"/>
        <v>Ishlayapti</v>
      </c>
      <c r="AE22" s="9" t="str">
        <f t="shared" si="18"/>
        <v>Yuqori risk</v>
      </c>
      <c r="AF22" s="9" t="str">
        <f t="shared" si="19"/>
        <v>Yordamchi</v>
      </c>
      <c r="AG22" s="9" t="str">
        <f t="shared" si="20"/>
        <v>Muammo</v>
      </c>
      <c r="AH22" s="9" t="str">
        <f t="shared" si="21"/>
        <v>Normal</v>
      </c>
      <c r="AI22" s="9" t="str">
        <f t="shared" si="22"/>
        <v>Ishlayapti</v>
      </c>
      <c r="AJ22" s="9" t="str">
        <f t="shared" si="23"/>
        <v>Yuqori risk</v>
      </c>
      <c r="AK22" s="9" t="str">
        <f t="shared" si="24"/>
        <v>Yordamchi</v>
      </c>
      <c r="AL22" s="9" t="str">
        <f t="shared" si="25"/>
        <v>Muammo</v>
      </c>
      <c r="AM22" s="9" t="str">
        <f t="shared" si="26"/>
        <v>Normal</v>
      </c>
      <c r="AN22" s="9" t="str">
        <f t="shared" si="27"/>
        <v>Ishlayapti</v>
      </c>
      <c r="AO22" s="9" t="str">
        <f t="shared" si="28"/>
        <v>Yuqori risk</v>
      </c>
      <c r="AP22" s="9" t="str">
        <f t="shared" si="29"/>
        <v>Yordamchi</v>
      </c>
    </row>
    <row r="23" spans="1:42">
      <c r="A23" s="2" t="s">
        <v>110</v>
      </c>
      <c r="B23" s="2">
        <v>12</v>
      </c>
      <c r="C23" s="2" t="s">
        <v>90</v>
      </c>
      <c r="D23" s="3">
        <v>6913900</v>
      </c>
      <c r="E23" s="3">
        <v>140809000</v>
      </c>
      <c r="F23" s="2" t="s">
        <v>45</v>
      </c>
      <c r="G23" s="2" t="s">
        <v>91</v>
      </c>
      <c r="H23" s="2">
        <v>16</v>
      </c>
      <c r="I23" s="6"/>
      <c r="J23" s="6"/>
      <c r="K23" s="7"/>
      <c r="L23" s="6"/>
      <c r="M23" s="9" t="str">
        <f t="shared" si="0"/>
        <v>Muammo</v>
      </c>
      <c r="N23" s="9" t="str">
        <f t="shared" si="1"/>
        <v>Normal</v>
      </c>
      <c r="O23" s="9" t="str">
        <f t="shared" si="2"/>
        <v>Ishlayapti</v>
      </c>
      <c r="P23" s="9" t="str">
        <f t="shared" si="3"/>
        <v>Yuqori risk</v>
      </c>
      <c r="Q23" s="9" t="str">
        <f t="shared" si="4"/>
        <v>Yordamchi</v>
      </c>
      <c r="R23" s="9" t="str">
        <f t="shared" si="5"/>
        <v>Muammo</v>
      </c>
      <c r="S23" s="9" t="str">
        <f t="shared" si="6"/>
        <v>Normal</v>
      </c>
      <c r="T23" s="9" t="str">
        <f t="shared" si="7"/>
        <v>Ishlayapti</v>
      </c>
      <c r="U23" s="9" t="str">
        <f t="shared" si="8"/>
        <v>Yuqori risk</v>
      </c>
      <c r="V23" s="9" t="str">
        <f t="shared" si="9"/>
        <v>Yordamchi</v>
      </c>
      <c r="W23" s="9" t="str">
        <f t="shared" si="10"/>
        <v>Muammo</v>
      </c>
      <c r="X23" s="9" t="str">
        <f t="shared" si="11"/>
        <v>Normal</v>
      </c>
      <c r="Y23" s="9" t="str">
        <f t="shared" si="12"/>
        <v>Ishlayapti</v>
      </c>
      <c r="Z23" s="9" t="str">
        <f t="shared" si="13"/>
        <v>Yuqori risk</v>
      </c>
      <c r="AA23" s="9" t="str">
        <f t="shared" si="14"/>
        <v>Yordamchi</v>
      </c>
      <c r="AB23" s="9" t="str">
        <f t="shared" si="15"/>
        <v>Muammo</v>
      </c>
      <c r="AC23" s="9" t="str">
        <f t="shared" si="16"/>
        <v>Normal</v>
      </c>
      <c r="AD23" s="9" t="str">
        <f t="shared" si="17"/>
        <v>Ishlayapti</v>
      </c>
      <c r="AE23" s="9" t="str">
        <f t="shared" si="18"/>
        <v>Yuqori risk</v>
      </c>
      <c r="AF23" s="9" t="str">
        <f t="shared" si="19"/>
        <v>Yordamchi</v>
      </c>
      <c r="AG23" s="9" t="str">
        <f t="shared" si="20"/>
        <v>Muammo</v>
      </c>
      <c r="AH23" s="9" t="str">
        <f t="shared" si="21"/>
        <v>Normal</v>
      </c>
      <c r="AI23" s="9" t="str">
        <f t="shared" si="22"/>
        <v>Ishlayapti</v>
      </c>
      <c r="AJ23" s="9" t="str">
        <f t="shared" si="23"/>
        <v>Yuqori risk</v>
      </c>
      <c r="AK23" s="9" t="str">
        <f t="shared" si="24"/>
        <v>Yordamchi</v>
      </c>
      <c r="AL23" s="9" t="str">
        <f t="shared" si="25"/>
        <v>Muammo</v>
      </c>
      <c r="AM23" s="9" t="str">
        <f t="shared" si="26"/>
        <v>Normal</v>
      </c>
      <c r="AN23" s="9" t="str">
        <f t="shared" si="27"/>
        <v>Ishlayapti</v>
      </c>
      <c r="AO23" s="9" t="str">
        <f t="shared" si="28"/>
        <v>Yuqori risk</v>
      </c>
      <c r="AP23" s="9" t="str">
        <f t="shared" si="29"/>
        <v>Yordamchi</v>
      </c>
    </row>
    <row r="24" spans="1:42">
      <c r="A24" s="2" t="s">
        <v>111</v>
      </c>
      <c r="B24" s="2">
        <v>50</v>
      </c>
      <c r="C24" s="2" t="s">
        <v>94</v>
      </c>
      <c r="D24" s="3">
        <v>4861800</v>
      </c>
      <c r="E24" s="3">
        <v>171844000</v>
      </c>
      <c r="F24" s="2" t="s">
        <v>45</v>
      </c>
      <c r="G24" s="2" t="s">
        <v>88</v>
      </c>
      <c r="H24" s="2">
        <v>2</v>
      </c>
      <c r="I24" s="6"/>
      <c r="J24" s="6"/>
      <c r="K24" s="7"/>
      <c r="L24" s="6"/>
      <c r="M24" s="9" t="str">
        <f t="shared" si="0"/>
        <v>Muammo</v>
      </c>
      <c r="N24" s="9" t="str">
        <f t="shared" si="1"/>
        <v>Normal</v>
      </c>
      <c r="O24" s="9" t="str">
        <f t="shared" si="2"/>
        <v>Ishlayapti</v>
      </c>
      <c r="P24" s="9" t="str">
        <f t="shared" si="3"/>
        <v>Yuqori risk</v>
      </c>
      <c r="Q24" s="9" t="str">
        <f t="shared" si="4"/>
        <v>Yordamchi</v>
      </c>
      <c r="R24" s="9" t="str">
        <f t="shared" si="5"/>
        <v>Muammo</v>
      </c>
      <c r="S24" s="9" t="str">
        <f t="shared" si="6"/>
        <v>Normal</v>
      </c>
      <c r="T24" s="9" t="str">
        <f t="shared" si="7"/>
        <v>Ishlayapti</v>
      </c>
      <c r="U24" s="9" t="str">
        <f t="shared" si="8"/>
        <v>Yuqori risk</v>
      </c>
      <c r="V24" s="9" t="str">
        <f t="shared" si="9"/>
        <v>Yordamchi</v>
      </c>
      <c r="W24" s="9" t="str">
        <f t="shared" si="10"/>
        <v>Muammo</v>
      </c>
      <c r="X24" s="9" t="str">
        <f t="shared" si="11"/>
        <v>Normal</v>
      </c>
      <c r="Y24" s="9" t="str">
        <f t="shared" si="12"/>
        <v>Ishlayapti</v>
      </c>
      <c r="Z24" s="9" t="str">
        <f t="shared" si="13"/>
        <v>Yuqori risk</v>
      </c>
      <c r="AA24" s="9" t="str">
        <f t="shared" si="14"/>
        <v>Yordamchi</v>
      </c>
      <c r="AB24" s="9" t="str">
        <f t="shared" si="15"/>
        <v>Muammo</v>
      </c>
      <c r="AC24" s="9" t="str">
        <f t="shared" si="16"/>
        <v>Normal</v>
      </c>
      <c r="AD24" s="9" t="str">
        <f t="shared" si="17"/>
        <v>Ishlayapti</v>
      </c>
      <c r="AE24" s="9" t="str">
        <f t="shared" si="18"/>
        <v>Yuqori risk</v>
      </c>
      <c r="AF24" s="9" t="str">
        <f t="shared" si="19"/>
        <v>Yordamchi</v>
      </c>
      <c r="AG24" s="9" t="str">
        <f t="shared" si="20"/>
        <v>Muammo</v>
      </c>
      <c r="AH24" s="9" t="str">
        <f t="shared" si="21"/>
        <v>Normal</v>
      </c>
      <c r="AI24" s="9" t="str">
        <f t="shared" si="22"/>
        <v>Ishlayapti</v>
      </c>
      <c r="AJ24" s="9" t="str">
        <f t="shared" si="23"/>
        <v>Yuqori risk</v>
      </c>
      <c r="AK24" s="9" t="str">
        <f t="shared" si="24"/>
        <v>Yordamchi</v>
      </c>
      <c r="AL24" s="9" t="str">
        <f t="shared" si="25"/>
        <v>Muammo</v>
      </c>
      <c r="AM24" s="9" t="str">
        <f t="shared" si="26"/>
        <v>Normal</v>
      </c>
      <c r="AN24" s="9" t="str">
        <f t="shared" si="27"/>
        <v>Ishlayapti</v>
      </c>
      <c r="AO24" s="9" t="str">
        <f t="shared" si="28"/>
        <v>Yuqori risk</v>
      </c>
      <c r="AP24" s="9" t="str">
        <f t="shared" si="29"/>
        <v>Yordamchi</v>
      </c>
    </row>
    <row r="25" spans="1:42">
      <c r="A25" s="2" t="s">
        <v>112</v>
      </c>
      <c r="B25" s="2">
        <v>31</v>
      </c>
      <c r="C25" s="2" t="s">
        <v>87</v>
      </c>
      <c r="D25" s="3">
        <v>6481600</v>
      </c>
      <c r="E25" s="3">
        <v>119259000</v>
      </c>
      <c r="F25" s="2" t="s">
        <v>45</v>
      </c>
      <c r="G25" s="2" t="s">
        <v>91</v>
      </c>
      <c r="H25" s="2">
        <v>16</v>
      </c>
      <c r="I25" s="6"/>
      <c r="J25" s="6"/>
      <c r="K25" s="7"/>
      <c r="L25" s="6"/>
      <c r="M25" s="9" t="str">
        <f t="shared" si="0"/>
        <v>Muammo</v>
      </c>
      <c r="N25" s="9" t="str">
        <f t="shared" si="1"/>
        <v>Normal</v>
      </c>
      <c r="O25" s="9" t="str">
        <f t="shared" si="2"/>
        <v>Ishlayapti</v>
      </c>
      <c r="P25" s="9" t="str">
        <f t="shared" si="3"/>
        <v>Yuqori risk</v>
      </c>
      <c r="Q25" s="9" t="str">
        <f t="shared" si="4"/>
        <v>Yordamchi</v>
      </c>
      <c r="R25" s="9" t="str">
        <f t="shared" si="5"/>
        <v>Muammo</v>
      </c>
      <c r="S25" s="9" t="str">
        <f t="shared" si="6"/>
        <v>Normal</v>
      </c>
      <c r="T25" s="9" t="str">
        <f t="shared" si="7"/>
        <v>Ishlayapti</v>
      </c>
      <c r="U25" s="9" t="str">
        <f t="shared" si="8"/>
        <v>Yuqori risk</v>
      </c>
      <c r="V25" s="9" t="str">
        <f t="shared" si="9"/>
        <v>Yordamchi</v>
      </c>
      <c r="W25" s="9" t="str">
        <f t="shared" si="10"/>
        <v>Muammo</v>
      </c>
      <c r="X25" s="9" t="str">
        <f t="shared" si="11"/>
        <v>Normal</v>
      </c>
      <c r="Y25" s="9" t="str">
        <f t="shared" si="12"/>
        <v>Ishlayapti</v>
      </c>
      <c r="Z25" s="9" t="str">
        <f t="shared" si="13"/>
        <v>Yuqori risk</v>
      </c>
      <c r="AA25" s="9" t="str">
        <f t="shared" si="14"/>
        <v>Yordamchi</v>
      </c>
      <c r="AB25" s="9" t="str">
        <f t="shared" si="15"/>
        <v>Muammo</v>
      </c>
      <c r="AC25" s="9" t="str">
        <f t="shared" si="16"/>
        <v>Normal</v>
      </c>
      <c r="AD25" s="9" t="str">
        <f t="shared" si="17"/>
        <v>Ishlayapti</v>
      </c>
      <c r="AE25" s="9" t="str">
        <f t="shared" si="18"/>
        <v>Yuqori risk</v>
      </c>
      <c r="AF25" s="9" t="str">
        <f t="shared" si="19"/>
        <v>Yordamchi</v>
      </c>
      <c r="AG25" s="9" t="str">
        <f t="shared" si="20"/>
        <v>Muammo</v>
      </c>
      <c r="AH25" s="9" t="str">
        <f t="shared" si="21"/>
        <v>Normal</v>
      </c>
      <c r="AI25" s="9" t="str">
        <f t="shared" si="22"/>
        <v>Ishlayapti</v>
      </c>
      <c r="AJ25" s="9" t="str">
        <f t="shared" si="23"/>
        <v>Yuqori risk</v>
      </c>
      <c r="AK25" s="9" t="str">
        <f t="shared" si="24"/>
        <v>Yordamchi</v>
      </c>
      <c r="AL25" s="9" t="str">
        <f t="shared" si="25"/>
        <v>Muammo</v>
      </c>
      <c r="AM25" s="9" t="str">
        <f t="shared" si="26"/>
        <v>Normal</v>
      </c>
      <c r="AN25" s="9" t="str">
        <f t="shared" si="27"/>
        <v>Ishlayapti</v>
      </c>
      <c r="AO25" s="9" t="str">
        <f t="shared" si="28"/>
        <v>Yuqori risk</v>
      </c>
      <c r="AP25" s="9" t="str">
        <f t="shared" si="29"/>
        <v>Yordamchi</v>
      </c>
    </row>
    <row r="26" spans="1:42">
      <c r="A26" s="2" t="s">
        <v>113</v>
      </c>
      <c r="B26" s="2">
        <v>6</v>
      </c>
      <c r="C26" s="2" t="s">
        <v>87</v>
      </c>
      <c r="D26" s="3">
        <v>16283400</v>
      </c>
      <c r="E26" s="3">
        <v>191838000</v>
      </c>
      <c r="F26" s="2" t="s">
        <v>45</v>
      </c>
      <c r="G26" s="2" t="s">
        <v>95</v>
      </c>
      <c r="H26" s="2">
        <v>0</v>
      </c>
      <c r="I26" s="6"/>
      <c r="J26" s="6"/>
      <c r="K26" s="7"/>
      <c r="L26" s="6"/>
      <c r="M26" s="9" t="str">
        <f t="shared" si="0"/>
        <v>Muammo</v>
      </c>
      <c r="N26" s="9" t="str">
        <f t="shared" si="1"/>
        <v>Normal</v>
      </c>
      <c r="O26" s="9" t="str">
        <f t="shared" si="2"/>
        <v>Ishlayapti</v>
      </c>
      <c r="P26" s="9" t="str">
        <f t="shared" si="3"/>
        <v>Yuqori risk</v>
      </c>
      <c r="Q26" s="9" t="str">
        <f t="shared" si="4"/>
        <v>Yordamchi</v>
      </c>
      <c r="R26" s="9" t="str">
        <f t="shared" si="5"/>
        <v>Muammo</v>
      </c>
      <c r="S26" s="9" t="str">
        <f t="shared" si="6"/>
        <v>Normal</v>
      </c>
      <c r="T26" s="9" t="str">
        <f t="shared" si="7"/>
        <v>Ishlayapti</v>
      </c>
      <c r="U26" s="9" t="str">
        <f t="shared" si="8"/>
        <v>Yuqori risk</v>
      </c>
      <c r="V26" s="9" t="str">
        <f t="shared" si="9"/>
        <v>Yordamchi</v>
      </c>
      <c r="W26" s="9" t="str">
        <f t="shared" si="10"/>
        <v>Muammo</v>
      </c>
      <c r="X26" s="9" t="str">
        <f t="shared" si="11"/>
        <v>Normal</v>
      </c>
      <c r="Y26" s="9" t="str">
        <f t="shared" si="12"/>
        <v>Ishlayapti</v>
      </c>
      <c r="Z26" s="9" t="str">
        <f t="shared" si="13"/>
        <v>Yuqori risk</v>
      </c>
      <c r="AA26" s="9" t="str">
        <f t="shared" si="14"/>
        <v>Yordamchi</v>
      </c>
      <c r="AB26" s="9" t="str">
        <f t="shared" si="15"/>
        <v>Muammo</v>
      </c>
      <c r="AC26" s="9" t="str">
        <f t="shared" si="16"/>
        <v>Normal</v>
      </c>
      <c r="AD26" s="9" t="str">
        <f t="shared" si="17"/>
        <v>Ishlayapti</v>
      </c>
      <c r="AE26" s="9" t="str">
        <f t="shared" si="18"/>
        <v>Yuqori risk</v>
      </c>
      <c r="AF26" s="9" t="str">
        <f t="shared" si="19"/>
        <v>Yordamchi</v>
      </c>
      <c r="AG26" s="9" t="str">
        <f t="shared" si="20"/>
        <v>Muammo</v>
      </c>
      <c r="AH26" s="9" t="str">
        <f t="shared" si="21"/>
        <v>Normal</v>
      </c>
      <c r="AI26" s="9" t="str">
        <f t="shared" si="22"/>
        <v>Ishlayapti</v>
      </c>
      <c r="AJ26" s="9" t="str">
        <f t="shared" si="23"/>
        <v>Yuqori risk</v>
      </c>
      <c r="AK26" s="9" t="str">
        <f t="shared" si="24"/>
        <v>Yordamchi</v>
      </c>
      <c r="AL26" s="9" t="str">
        <f t="shared" si="25"/>
        <v>Muammo</v>
      </c>
      <c r="AM26" s="9" t="str">
        <f t="shared" si="26"/>
        <v>Normal</v>
      </c>
      <c r="AN26" s="9" t="str">
        <f t="shared" si="27"/>
        <v>Ishlayapti</v>
      </c>
      <c r="AO26" s="9" t="str">
        <f t="shared" si="28"/>
        <v>Yuqori risk</v>
      </c>
      <c r="AP26" s="9" t="str">
        <f t="shared" si="29"/>
        <v>Yordamchi</v>
      </c>
    </row>
    <row r="27" spans="1:42">
      <c r="A27" s="2" t="s">
        <v>114</v>
      </c>
      <c r="B27" s="2">
        <v>47</v>
      </c>
      <c r="C27" s="2" t="s">
        <v>97</v>
      </c>
      <c r="D27" s="3">
        <v>4523000</v>
      </c>
      <c r="E27" s="3">
        <v>77674000</v>
      </c>
      <c r="F27" s="2" t="s">
        <v>92</v>
      </c>
      <c r="G27" s="2" t="s">
        <v>91</v>
      </c>
      <c r="H27" s="2">
        <v>19</v>
      </c>
      <c r="I27" s="6"/>
      <c r="J27" s="6"/>
      <c r="K27" s="7"/>
      <c r="L27" s="6"/>
      <c r="M27" s="9" t="str">
        <f t="shared" si="0"/>
        <v>Muammo</v>
      </c>
      <c r="N27" s="9" t="str">
        <f t="shared" si="1"/>
        <v>Normal</v>
      </c>
      <c r="O27" s="9" t="str">
        <f t="shared" si="2"/>
        <v>To‘xtagan</v>
      </c>
      <c r="P27" s="9" t="str">
        <f t="shared" si="3"/>
        <v>Yuqori risk</v>
      </c>
      <c r="Q27" s="9" t="str">
        <f t="shared" si="4"/>
        <v>Yordamchi</v>
      </c>
      <c r="R27" s="9" t="str">
        <f t="shared" si="5"/>
        <v>Muammo</v>
      </c>
      <c r="S27" s="9" t="str">
        <f t="shared" si="6"/>
        <v>Normal</v>
      </c>
      <c r="T27" s="9" t="str">
        <f t="shared" si="7"/>
        <v>To‘xtagan</v>
      </c>
      <c r="U27" s="9" t="str">
        <f t="shared" si="8"/>
        <v>Yuqori risk</v>
      </c>
      <c r="V27" s="9" t="str">
        <f t="shared" si="9"/>
        <v>Yordamchi</v>
      </c>
      <c r="W27" s="9" t="str">
        <f t="shared" si="10"/>
        <v>Muammo</v>
      </c>
      <c r="X27" s="9" t="str">
        <f t="shared" si="11"/>
        <v>Normal</v>
      </c>
      <c r="Y27" s="9" t="str">
        <f t="shared" si="12"/>
        <v>To‘xtagan</v>
      </c>
      <c r="Z27" s="9" t="str">
        <f t="shared" si="13"/>
        <v>Yuqori risk</v>
      </c>
      <c r="AA27" s="9" t="str">
        <f t="shared" si="14"/>
        <v>Yordamchi</v>
      </c>
      <c r="AB27" s="9" t="str">
        <f t="shared" si="15"/>
        <v>Muammo</v>
      </c>
      <c r="AC27" s="9" t="str">
        <f t="shared" si="16"/>
        <v>Normal</v>
      </c>
      <c r="AD27" s="9" t="str">
        <f t="shared" si="17"/>
        <v>To‘xtagan</v>
      </c>
      <c r="AE27" s="9" t="str">
        <f t="shared" si="18"/>
        <v>Yuqori risk</v>
      </c>
      <c r="AF27" s="9" t="str">
        <f t="shared" si="19"/>
        <v>Yordamchi</v>
      </c>
      <c r="AG27" s="9" t="str">
        <f t="shared" si="20"/>
        <v>Muammo</v>
      </c>
      <c r="AH27" s="9" t="str">
        <f t="shared" si="21"/>
        <v>Normal</v>
      </c>
      <c r="AI27" s="9" t="str">
        <f t="shared" si="22"/>
        <v>To‘xtagan</v>
      </c>
      <c r="AJ27" s="9" t="str">
        <f t="shared" si="23"/>
        <v>Yuqori risk</v>
      </c>
      <c r="AK27" s="9" t="str">
        <f t="shared" si="24"/>
        <v>Yordamchi</v>
      </c>
      <c r="AL27" s="9" t="str">
        <f t="shared" si="25"/>
        <v>Muammo</v>
      </c>
      <c r="AM27" s="9" t="str">
        <f t="shared" si="26"/>
        <v>Normal</v>
      </c>
      <c r="AN27" s="9" t="str">
        <f t="shared" si="27"/>
        <v>To‘xtagan</v>
      </c>
      <c r="AO27" s="9" t="str">
        <f t="shared" si="28"/>
        <v>Yuqori risk</v>
      </c>
      <c r="AP27" s="9" t="str">
        <f t="shared" si="29"/>
        <v>Yordamchi</v>
      </c>
    </row>
    <row r="28" spans="1:42">
      <c r="A28" s="2" t="s">
        <v>115</v>
      </c>
      <c r="B28" s="2">
        <v>1</v>
      </c>
      <c r="C28" s="2" t="s">
        <v>97</v>
      </c>
      <c r="D28" s="3">
        <v>10573200</v>
      </c>
      <c r="E28" s="3">
        <v>117971000</v>
      </c>
      <c r="F28" s="2" t="s">
        <v>45</v>
      </c>
      <c r="G28" s="2" t="s">
        <v>95</v>
      </c>
      <c r="H28" s="2">
        <v>17</v>
      </c>
      <c r="I28" s="6"/>
      <c r="J28" s="6"/>
      <c r="K28" s="7"/>
      <c r="L28" s="6"/>
      <c r="M28" s="9" t="str">
        <f t="shared" si="0"/>
        <v>Muammo</v>
      </c>
      <c r="N28" s="9" t="str">
        <f t="shared" si="1"/>
        <v>Normal</v>
      </c>
      <c r="O28" s="9" t="str">
        <f t="shared" si="2"/>
        <v>Ishlayapti</v>
      </c>
      <c r="P28" s="9" t="str">
        <f t="shared" si="3"/>
        <v>Yuqori risk</v>
      </c>
      <c r="Q28" s="9" t="str">
        <f t="shared" si="4"/>
        <v>Yordamchi</v>
      </c>
      <c r="R28" s="9" t="str">
        <f t="shared" si="5"/>
        <v>Muammo</v>
      </c>
      <c r="S28" s="9" t="str">
        <f t="shared" si="6"/>
        <v>Normal</v>
      </c>
      <c r="T28" s="9" t="str">
        <f t="shared" si="7"/>
        <v>Ishlayapti</v>
      </c>
      <c r="U28" s="9" t="str">
        <f t="shared" si="8"/>
        <v>Yuqori risk</v>
      </c>
      <c r="V28" s="9" t="str">
        <f t="shared" si="9"/>
        <v>Yordamchi</v>
      </c>
      <c r="W28" s="9" t="str">
        <f t="shared" si="10"/>
        <v>Muammo</v>
      </c>
      <c r="X28" s="9" t="str">
        <f t="shared" si="11"/>
        <v>Normal</v>
      </c>
      <c r="Y28" s="9" t="str">
        <f t="shared" si="12"/>
        <v>Ishlayapti</v>
      </c>
      <c r="Z28" s="9" t="str">
        <f t="shared" si="13"/>
        <v>Yuqori risk</v>
      </c>
      <c r="AA28" s="9" t="str">
        <f t="shared" si="14"/>
        <v>Yordamchi</v>
      </c>
      <c r="AB28" s="9" t="str">
        <f t="shared" si="15"/>
        <v>Muammo</v>
      </c>
      <c r="AC28" s="9" t="str">
        <f t="shared" si="16"/>
        <v>Normal</v>
      </c>
      <c r="AD28" s="9" t="str">
        <f t="shared" si="17"/>
        <v>Ishlayapti</v>
      </c>
      <c r="AE28" s="9" t="str">
        <f t="shared" si="18"/>
        <v>Yuqori risk</v>
      </c>
      <c r="AF28" s="9" t="str">
        <f t="shared" si="19"/>
        <v>Yordamchi</v>
      </c>
      <c r="AG28" s="9" t="str">
        <f t="shared" si="20"/>
        <v>Muammo</v>
      </c>
      <c r="AH28" s="9" t="str">
        <f t="shared" si="21"/>
        <v>Normal</v>
      </c>
      <c r="AI28" s="9" t="str">
        <f t="shared" si="22"/>
        <v>Ishlayapti</v>
      </c>
      <c r="AJ28" s="9" t="str">
        <f t="shared" si="23"/>
        <v>Yuqori risk</v>
      </c>
      <c r="AK28" s="9" t="str">
        <f t="shared" si="24"/>
        <v>Yordamchi</v>
      </c>
      <c r="AL28" s="9" t="str">
        <f t="shared" si="25"/>
        <v>Muammo</v>
      </c>
      <c r="AM28" s="9" t="str">
        <f t="shared" si="26"/>
        <v>Normal</v>
      </c>
      <c r="AN28" s="9" t="str">
        <f t="shared" si="27"/>
        <v>Ishlayapti</v>
      </c>
      <c r="AO28" s="9" t="str">
        <f t="shared" si="28"/>
        <v>Yuqori risk</v>
      </c>
      <c r="AP28" s="9" t="str">
        <f t="shared" si="29"/>
        <v>Yordamchi</v>
      </c>
    </row>
    <row r="29" spans="1:42">
      <c r="A29" s="2" t="s">
        <v>116</v>
      </c>
      <c r="B29" s="2">
        <v>22</v>
      </c>
      <c r="C29" s="2" t="s">
        <v>90</v>
      </c>
      <c r="D29" s="3">
        <v>11979000</v>
      </c>
      <c r="E29" s="3">
        <v>110966000</v>
      </c>
      <c r="F29" s="2" t="s">
        <v>45</v>
      </c>
      <c r="G29" s="2" t="s">
        <v>95</v>
      </c>
      <c r="H29" s="2">
        <v>13</v>
      </c>
      <c r="I29" s="6"/>
      <c r="J29" s="6"/>
      <c r="K29" s="7"/>
      <c r="L29" s="6"/>
      <c r="M29" s="9" t="str">
        <f t="shared" si="0"/>
        <v>Muammo</v>
      </c>
      <c r="N29" s="9" t="str">
        <f t="shared" si="1"/>
        <v>Normal</v>
      </c>
      <c r="O29" s="9" t="str">
        <f t="shared" si="2"/>
        <v>Ishlayapti</v>
      </c>
      <c r="P29" s="9" t="str">
        <f t="shared" si="3"/>
        <v>Yuqori risk</v>
      </c>
      <c r="Q29" s="9" t="str">
        <f t="shared" si="4"/>
        <v>Yordamchi</v>
      </c>
      <c r="R29" s="9" t="str">
        <f t="shared" si="5"/>
        <v>Muammo</v>
      </c>
      <c r="S29" s="9" t="str">
        <f t="shared" si="6"/>
        <v>Normal</v>
      </c>
      <c r="T29" s="9" t="str">
        <f t="shared" si="7"/>
        <v>Ishlayapti</v>
      </c>
      <c r="U29" s="9" t="str">
        <f t="shared" si="8"/>
        <v>Yuqori risk</v>
      </c>
      <c r="V29" s="9" t="str">
        <f t="shared" si="9"/>
        <v>Yordamchi</v>
      </c>
      <c r="W29" s="9" t="str">
        <f t="shared" si="10"/>
        <v>Muammo</v>
      </c>
      <c r="X29" s="9" t="str">
        <f t="shared" si="11"/>
        <v>Normal</v>
      </c>
      <c r="Y29" s="9" t="str">
        <f t="shared" si="12"/>
        <v>Ishlayapti</v>
      </c>
      <c r="Z29" s="9" t="str">
        <f t="shared" si="13"/>
        <v>Yuqori risk</v>
      </c>
      <c r="AA29" s="9" t="str">
        <f t="shared" si="14"/>
        <v>Yordamchi</v>
      </c>
      <c r="AB29" s="9" t="str">
        <f t="shared" si="15"/>
        <v>Muammo</v>
      </c>
      <c r="AC29" s="9" t="str">
        <f t="shared" si="16"/>
        <v>Normal</v>
      </c>
      <c r="AD29" s="9" t="str">
        <f t="shared" si="17"/>
        <v>Ishlayapti</v>
      </c>
      <c r="AE29" s="9" t="str">
        <f t="shared" si="18"/>
        <v>Yuqori risk</v>
      </c>
      <c r="AF29" s="9" t="str">
        <f t="shared" si="19"/>
        <v>Yordamchi</v>
      </c>
      <c r="AG29" s="9" t="str">
        <f t="shared" si="20"/>
        <v>Muammo</v>
      </c>
      <c r="AH29" s="9" t="str">
        <f t="shared" si="21"/>
        <v>Normal</v>
      </c>
      <c r="AI29" s="9" t="str">
        <f t="shared" si="22"/>
        <v>Ishlayapti</v>
      </c>
      <c r="AJ29" s="9" t="str">
        <f t="shared" si="23"/>
        <v>Yuqori risk</v>
      </c>
      <c r="AK29" s="9" t="str">
        <f t="shared" si="24"/>
        <v>Yordamchi</v>
      </c>
      <c r="AL29" s="9" t="str">
        <f t="shared" si="25"/>
        <v>Muammo</v>
      </c>
      <c r="AM29" s="9" t="str">
        <f t="shared" si="26"/>
        <v>Normal</v>
      </c>
      <c r="AN29" s="9" t="str">
        <f t="shared" si="27"/>
        <v>Ishlayapti</v>
      </c>
      <c r="AO29" s="9" t="str">
        <f t="shared" si="28"/>
        <v>Yuqori risk</v>
      </c>
      <c r="AP29" s="9" t="str">
        <f t="shared" si="29"/>
        <v>Yordamchi</v>
      </c>
    </row>
    <row r="30" spans="1:42">
      <c r="A30" s="2" t="s">
        <v>117</v>
      </c>
      <c r="B30" s="2">
        <v>6</v>
      </c>
      <c r="C30" s="2" t="s">
        <v>90</v>
      </c>
      <c r="D30" s="3">
        <v>7821900</v>
      </c>
      <c r="E30" s="3">
        <v>74703000</v>
      </c>
      <c r="F30" s="2" t="s">
        <v>92</v>
      </c>
      <c r="G30" s="2" t="s">
        <v>91</v>
      </c>
      <c r="H30" s="2">
        <v>19</v>
      </c>
      <c r="I30" s="6"/>
      <c r="J30" s="6"/>
      <c r="K30" s="7"/>
      <c r="L30" s="6"/>
      <c r="M30" s="9" t="str">
        <f t="shared" si="0"/>
        <v>Muammo</v>
      </c>
      <c r="N30" s="9" t="str">
        <f t="shared" si="1"/>
        <v>Normal</v>
      </c>
      <c r="O30" s="9" t="str">
        <f t="shared" si="2"/>
        <v>To‘xtagan</v>
      </c>
      <c r="P30" s="9" t="str">
        <f t="shared" si="3"/>
        <v>Yuqori risk</v>
      </c>
      <c r="Q30" s="9" t="str">
        <f t="shared" si="4"/>
        <v>Yordamchi</v>
      </c>
      <c r="R30" s="9" t="str">
        <f t="shared" si="5"/>
        <v>Muammo</v>
      </c>
      <c r="S30" s="9" t="str">
        <f t="shared" si="6"/>
        <v>Normal</v>
      </c>
      <c r="T30" s="9" t="str">
        <f t="shared" si="7"/>
        <v>To‘xtagan</v>
      </c>
      <c r="U30" s="9" t="str">
        <f t="shared" si="8"/>
        <v>Yuqori risk</v>
      </c>
      <c r="V30" s="9" t="str">
        <f t="shared" si="9"/>
        <v>Yordamchi</v>
      </c>
      <c r="W30" s="9" t="str">
        <f t="shared" si="10"/>
        <v>Muammo</v>
      </c>
      <c r="X30" s="9" t="str">
        <f t="shared" si="11"/>
        <v>Normal</v>
      </c>
      <c r="Y30" s="9" t="str">
        <f t="shared" si="12"/>
        <v>To‘xtagan</v>
      </c>
      <c r="Z30" s="9" t="str">
        <f t="shared" si="13"/>
        <v>Yuqori risk</v>
      </c>
      <c r="AA30" s="9" t="str">
        <f t="shared" si="14"/>
        <v>Yordamchi</v>
      </c>
      <c r="AB30" s="9" t="str">
        <f t="shared" si="15"/>
        <v>Muammo</v>
      </c>
      <c r="AC30" s="9" t="str">
        <f t="shared" si="16"/>
        <v>Normal</v>
      </c>
      <c r="AD30" s="9" t="str">
        <f t="shared" si="17"/>
        <v>To‘xtagan</v>
      </c>
      <c r="AE30" s="9" t="str">
        <f t="shared" si="18"/>
        <v>Yuqori risk</v>
      </c>
      <c r="AF30" s="9" t="str">
        <f t="shared" si="19"/>
        <v>Yordamchi</v>
      </c>
      <c r="AG30" s="9" t="str">
        <f t="shared" si="20"/>
        <v>Muammo</v>
      </c>
      <c r="AH30" s="9" t="str">
        <f t="shared" si="21"/>
        <v>Normal</v>
      </c>
      <c r="AI30" s="9" t="str">
        <f t="shared" si="22"/>
        <v>To‘xtagan</v>
      </c>
      <c r="AJ30" s="9" t="str">
        <f t="shared" si="23"/>
        <v>Yuqori risk</v>
      </c>
      <c r="AK30" s="9" t="str">
        <f t="shared" si="24"/>
        <v>Yordamchi</v>
      </c>
      <c r="AL30" s="9" t="str">
        <f t="shared" si="25"/>
        <v>Muammo</v>
      </c>
      <c r="AM30" s="9" t="str">
        <f t="shared" si="26"/>
        <v>Normal</v>
      </c>
      <c r="AN30" s="9" t="str">
        <f t="shared" si="27"/>
        <v>To‘xtagan</v>
      </c>
      <c r="AO30" s="9" t="str">
        <f t="shared" si="28"/>
        <v>Yuqori risk</v>
      </c>
      <c r="AP30" s="9" t="str">
        <f t="shared" si="29"/>
        <v>Yordamchi</v>
      </c>
    </row>
    <row r="31" spans="1:42">
      <c r="A31" s="2" t="s">
        <v>118</v>
      </c>
      <c r="B31" s="2">
        <v>7</v>
      </c>
      <c r="C31" s="2" t="s">
        <v>97</v>
      </c>
      <c r="D31" s="3">
        <v>7317600</v>
      </c>
      <c r="E31" s="3">
        <v>66749000</v>
      </c>
      <c r="F31" s="2" t="s">
        <v>92</v>
      </c>
      <c r="G31" s="2" t="s">
        <v>88</v>
      </c>
      <c r="H31" s="2">
        <v>16</v>
      </c>
      <c r="I31" s="6"/>
      <c r="J31" s="6"/>
      <c r="K31" s="7"/>
      <c r="L31" s="6"/>
      <c r="M31" s="9" t="str">
        <f t="shared" si="0"/>
        <v>Muammo</v>
      </c>
      <c r="N31" s="9" t="str">
        <f t="shared" si="1"/>
        <v>Normal</v>
      </c>
      <c r="O31" s="9" t="str">
        <f t="shared" si="2"/>
        <v>To‘xtagan</v>
      </c>
      <c r="P31" s="9" t="str">
        <f t="shared" si="3"/>
        <v>Yuqori risk</v>
      </c>
      <c r="Q31" s="9" t="str">
        <f t="shared" si="4"/>
        <v>Yordamchi</v>
      </c>
      <c r="R31" s="9" t="str">
        <f t="shared" si="5"/>
        <v>Muammo</v>
      </c>
      <c r="S31" s="9" t="str">
        <f t="shared" si="6"/>
        <v>Normal</v>
      </c>
      <c r="T31" s="9" t="str">
        <f t="shared" si="7"/>
        <v>To‘xtagan</v>
      </c>
      <c r="U31" s="9" t="str">
        <f t="shared" si="8"/>
        <v>Yuqori risk</v>
      </c>
      <c r="V31" s="9" t="str">
        <f t="shared" si="9"/>
        <v>Yordamchi</v>
      </c>
      <c r="W31" s="9" t="str">
        <f t="shared" si="10"/>
        <v>Muammo</v>
      </c>
      <c r="X31" s="9" t="str">
        <f t="shared" si="11"/>
        <v>Normal</v>
      </c>
      <c r="Y31" s="9" t="str">
        <f t="shared" si="12"/>
        <v>To‘xtagan</v>
      </c>
      <c r="Z31" s="9" t="str">
        <f t="shared" si="13"/>
        <v>Yuqori risk</v>
      </c>
      <c r="AA31" s="9" t="str">
        <f t="shared" si="14"/>
        <v>Yordamchi</v>
      </c>
      <c r="AB31" s="9" t="str">
        <f t="shared" si="15"/>
        <v>Muammo</v>
      </c>
      <c r="AC31" s="9" t="str">
        <f t="shared" si="16"/>
        <v>Normal</v>
      </c>
      <c r="AD31" s="9" t="str">
        <f t="shared" si="17"/>
        <v>To‘xtagan</v>
      </c>
      <c r="AE31" s="9" t="str">
        <f t="shared" si="18"/>
        <v>Yuqori risk</v>
      </c>
      <c r="AF31" s="9" t="str">
        <f t="shared" si="19"/>
        <v>Yordamchi</v>
      </c>
      <c r="AG31" s="9" t="str">
        <f t="shared" si="20"/>
        <v>Muammo</v>
      </c>
      <c r="AH31" s="9" t="str">
        <f t="shared" si="21"/>
        <v>Normal</v>
      </c>
      <c r="AI31" s="9" t="str">
        <f t="shared" si="22"/>
        <v>To‘xtagan</v>
      </c>
      <c r="AJ31" s="9" t="str">
        <f t="shared" si="23"/>
        <v>Yuqori risk</v>
      </c>
      <c r="AK31" s="9" t="str">
        <f t="shared" si="24"/>
        <v>Yordamchi</v>
      </c>
      <c r="AL31" s="9" t="str">
        <f t="shared" si="25"/>
        <v>Muammo</v>
      </c>
      <c r="AM31" s="9" t="str">
        <f t="shared" si="26"/>
        <v>Normal</v>
      </c>
      <c r="AN31" s="9" t="str">
        <f t="shared" si="27"/>
        <v>To‘xtagan</v>
      </c>
      <c r="AO31" s="9" t="str">
        <f t="shared" si="28"/>
        <v>Yuqori risk</v>
      </c>
      <c r="AP31" s="9" t="str">
        <f t="shared" si="29"/>
        <v>Yordamchi</v>
      </c>
    </row>
    <row r="32" spans="1:42">
      <c r="A32" s="2" t="s">
        <v>119</v>
      </c>
      <c r="B32" s="4"/>
      <c r="C32" s="4"/>
      <c r="D32" s="4"/>
      <c r="E32" s="4"/>
      <c r="F32" s="4"/>
      <c r="G32" s="4"/>
      <c r="H32" s="4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</row>
    <row r="33" spans="1:42">
      <c r="A33" s="2" t="s">
        <v>120</v>
      </c>
      <c r="B33" s="4"/>
      <c r="C33" s="4"/>
      <c r="D33" s="4"/>
      <c r="E33" s="4"/>
      <c r="F33" s="4"/>
      <c r="G33" s="4"/>
      <c r="H33" s="4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</row>
    <row r="34" spans="1:42">
      <c r="A34" s="2" t="s">
        <v>121</v>
      </c>
      <c r="B34" s="4"/>
      <c r="C34" s="4"/>
      <c r="D34" s="4"/>
      <c r="E34" s="4"/>
      <c r="F34" s="4"/>
      <c r="G34" s="4"/>
      <c r="H34" s="4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</row>
    <row r="35" spans="1:42">
      <c r="A35" s="2" t="s">
        <v>122</v>
      </c>
      <c r="B35" s="4"/>
      <c r="C35" s="4"/>
      <c r="D35" s="4"/>
      <c r="E35" s="4"/>
      <c r="F35" s="4"/>
      <c r="G35" s="4"/>
      <c r="H35" s="4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</row>
    <row r="36" spans="1:42">
      <c r="A36" s="2" t="s">
        <v>123</v>
      </c>
      <c r="B36" s="4"/>
      <c r="C36" s="4"/>
      <c r="D36" s="4"/>
      <c r="E36" s="4"/>
      <c r="F36" s="4"/>
      <c r="G36" s="4"/>
      <c r="H36" s="4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</row>
    <row r="37" spans="1:42">
      <c r="A37" s="2" t="s">
        <v>124</v>
      </c>
      <c r="B37" s="4"/>
      <c r="C37" s="4"/>
      <c r="D37" s="4"/>
      <c r="E37" s="4"/>
      <c r="F37" s="4"/>
      <c r="G37" s="4"/>
      <c r="H37" s="4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</row>
    <row r="38" spans="1:42">
      <c r="A38" s="2" t="s">
        <v>125</v>
      </c>
      <c r="B38" s="4"/>
      <c r="C38" s="4"/>
      <c r="D38" s="4"/>
      <c r="E38" s="4"/>
      <c r="F38" s="4"/>
      <c r="G38" s="4"/>
      <c r="H38" s="4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</row>
    <row r="39" spans="1:42">
      <c r="A39" s="2" t="s">
        <v>126</v>
      </c>
      <c r="B39" s="4"/>
      <c r="C39" s="4"/>
      <c r="D39" s="4"/>
      <c r="E39" s="4"/>
      <c r="F39" s="4"/>
      <c r="G39" s="4"/>
      <c r="H39" s="4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</row>
    <row r="40" spans="1:42">
      <c r="A40" s="2" t="s">
        <v>127</v>
      </c>
      <c r="B40" s="4"/>
      <c r="C40" s="4"/>
      <c r="D40" s="4"/>
      <c r="E40" s="4"/>
      <c r="F40" s="4"/>
      <c r="G40" s="4"/>
      <c r="H40" s="4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</row>
    <row r="41" spans="1:42">
      <c r="A41" s="2" t="s">
        <v>128</v>
      </c>
      <c r="B41" s="4"/>
      <c r="C41" s="4"/>
      <c r="D41" s="4"/>
      <c r="E41" s="4"/>
      <c r="F41" s="4"/>
      <c r="G41" s="4"/>
      <c r="H41" s="4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</row>
    <row r="42" spans="1:42">
      <c r="A42" s="2" t="s">
        <v>129</v>
      </c>
      <c r="B42" s="4"/>
      <c r="C42" s="4"/>
      <c r="D42" s="4"/>
      <c r="E42" s="4"/>
      <c r="F42" s="4"/>
      <c r="G42" s="4"/>
      <c r="H42" s="4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</row>
    <row r="43" spans="1:42">
      <c r="A43" s="2" t="s">
        <v>130</v>
      </c>
      <c r="B43" s="4"/>
      <c r="C43" s="4"/>
      <c r="D43" s="4"/>
      <c r="E43" s="4"/>
      <c r="F43" s="4"/>
      <c r="G43" s="4"/>
      <c r="H43" s="4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</row>
    <row r="44" spans="1:42">
      <c r="A44" s="2" t="s">
        <v>131</v>
      </c>
      <c r="B44" s="4"/>
      <c r="C44" s="4"/>
      <c r="D44" s="4"/>
      <c r="E44" s="4"/>
      <c r="F44" s="4"/>
      <c r="G44" s="4"/>
      <c r="H44" s="4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</row>
    <row r="45" spans="1:42">
      <c r="A45" s="2" t="s">
        <v>132</v>
      </c>
      <c r="B45" s="4"/>
      <c r="C45" s="4"/>
      <c r="D45" s="4"/>
      <c r="E45" s="4"/>
      <c r="F45" s="4"/>
      <c r="G45" s="4"/>
      <c r="H45" s="4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</row>
    <row r="46" spans="1:42">
      <c r="A46" s="2" t="s">
        <v>133</v>
      </c>
      <c r="B46" s="4"/>
      <c r="C46" s="4"/>
      <c r="D46" s="4"/>
      <c r="E46" s="4"/>
      <c r="F46" s="4"/>
      <c r="G46" s="4"/>
      <c r="H46" s="4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</row>
    <row r="47" spans="1:42">
      <c r="A47" s="2" t="s">
        <v>134</v>
      </c>
      <c r="B47" s="4"/>
      <c r="C47" s="4"/>
      <c r="D47" s="4"/>
      <c r="E47" s="4"/>
      <c r="F47" s="4"/>
      <c r="G47" s="4"/>
      <c r="H47" s="4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</row>
    <row r="48" spans="1:42">
      <c r="A48" s="2" t="s">
        <v>135</v>
      </c>
      <c r="B48" s="4"/>
      <c r="C48" s="4"/>
      <c r="D48" s="4"/>
      <c r="E48" s="4"/>
      <c r="F48" s="4"/>
      <c r="G48" s="4"/>
      <c r="H48" s="4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</row>
    <row r="49" spans="1:42">
      <c r="A49" s="2" t="s">
        <v>136</v>
      </c>
      <c r="B49" s="4"/>
      <c r="C49" s="4"/>
      <c r="D49" s="4"/>
      <c r="E49" s="4"/>
      <c r="F49" s="4"/>
      <c r="G49" s="4"/>
      <c r="H49" s="4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</row>
    <row r="50" spans="1:42">
      <c r="A50" s="2" t="s">
        <v>137</v>
      </c>
      <c r="B50" s="4"/>
      <c r="C50" s="4"/>
      <c r="D50" s="4"/>
      <c r="E50" s="4"/>
      <c r="F50" s="4"/>
      <c r="G50" s="4"/>
      <c r="H50" s="4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</row>
    <row r="51" spans="1:42">
      <c r="A51" s="2" t="s">
        <v>138</v>
      </c>
      <c r="B51" s="4"/>
      <c r="C51" s="4"/>
      <c r="D51" s="4"/>
      <c r="E51" s="4"/>
      <c r="F51" s="4"/>
      <c r="G51" s="4"/>
      <c r="H51" s="4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</row>
    <row r="52" spans="1:42">
      <c r="A52" s="2" t="s">
        <v>139</v>
      </c>
      <c r="B52" s="4"/>
      <c r="C52" s="4"/>
      <c r="D52" s="4"/>
      <c r="E52" s="4"/>
      <c r="F52" s="4"/>
      <c r="G52" s="4"/>
      <c r="H52" s="4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</row>
    <row r="53" spans="1:42">
      <c r="A53" s="2" t="s">
        <v>140</v>
      </c>
      <c r="B53" s="4"/>
      <c r="C53" s="4"/>
      <c r="D53" s="4"/>
      <c r="E53" s="4"/>
      <c r="F53" s="4"/>
      <c r="G53" s="4"/>
      <c r="H53" s="4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</row>
    <row r="54" spans="1:42">
      <c r="A54" s="2" t="s">
        <v>141</v>
      </c>
      <c r="B54" s="4"/>
      <c r="C54" s="4"/>
      <c r="D54" s="4"/>
      <c r="E54" s="4"/>
      <c r="F54" s="4"/>
      <c r="G54" s="4"/>
      <c r="H54" s="4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</row>
    <row r="55" spans="1:42">
      <c r="A55" s="2" t="s">
        <v>142</v>
      </c>
      <c r="B55" s="4"/>
      <c r="C55" s="4"/>
      <c r="D55" s="4"/>
      <c r="E55" s="4"/>
      <c r="F55" s="4"/>
      <c r="G55" s="4"/>
      <c r="H55" s="4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</row>
    <row r="56" spans="1:42">
      <c r="A56" s="2" t="s">
        <v>143</v>
      </c>
      <c r="B56" s="4"/>
      <c r="C56" s="4"/>
      <c r="D56" s="4"/>
      <c r="E56" s="4"/>
      <c r="F56" s="4"/>
      <c r="G56" s="4"/>
      <c r="H56" s="4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</row>
    <row r="57" spans="1:42">
      <c r="A57" s="2" t="s">
        <v>144</v>
      </c>
      <c r="B57" s="4"/>
      <c r="C57" s="4"/>
      <c r="D57" s="4"/>
      <c r="E57" s="4"/>
      <c r="F57" s="4"/>
      <c r="G57" s="4"/>
      <c r="H57" s="4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</row>
    <row r="58" spans="1:42">
      <c r="A58" s="2" t="s">
        <v>145</v>
      </c>
      <c r="B58" s="4"/>
      <c r="C58" s="4"/>
      <c r="D58" s="4"/>
      <c r="E58" s="4"/>
      <c r="F58" s="4"/>
      <c r="G58" s="4"/>
      <c r="H58" s="4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</row>
    <row r="59" spans="1:42">
      <c r="A59" s="2" t="s">
        <v>146</v>
      </c>
      <c r="B59" s="4"/>
      <c r="C59" s="4"/>
      <c r="D59" s="4"/>
      <c r="E59" s="4"/>
      <c r="F59" s="4"/>
      <c r="G59" s="4"/>
      <c r="H59" s="4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</row>
    <row r="60" spans="1:42">
      <c r="A60" s="2" t="s">
        <v>147</v>
      </c>
      <c r="B60" s="4"/>
      <c r="C60" s="4"/>
      <c r="D60" s="4"/>
      <c r="E60" s="4"/>
      <c r="F60" s="4"/>
      <c r="G60" s="4"/>
      <c r="H60" s="4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</row>
    <row r="61" spans="1:42">
      <c r="A61" s="2" t="s">
        <v>148</v>
      </c>
      <c r="B61" s="4"/>
      <c r="C61" s="4"/>
      <c r="D61" s="4"/>
      <c r="E61" s="4"/>
      <c r="F61" s="4"/>
      <c r="G61" s="4"/>
      <c r="H61" s="4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Лист1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2023.08.31</dc:creator>
  <cp:lastModifiedBy>az1zbekx</cp:lastModifiedBy>
  <dcterms:created xsi:type="dcterms:W3CDTF">2026-03-26T02:21:00Z</dcterms:created>
  <dcterms:modified xsi:type="dcterms:W3CDTF">2026-03-30T17:02:19Z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