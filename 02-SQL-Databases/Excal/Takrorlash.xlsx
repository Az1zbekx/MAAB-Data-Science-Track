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KU_DATA" sheetId="1" state="visible" r:id="rId1"/>
    <sheet name="Savollar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<sst xmlns="http://schemas.openxmlformats.org/spreadsheetml/2006/main" count="265" uniqueCount="265">
  <si>
    <t>SKU</t>
  </si>
  <si>
    <t xml:space="preserve">Yetkazib berish
masofasi (km)</t>
  </si>
  <si>
    <t xml:space="preserve">Avtomobil narxi</t>
  </si>
  <si>
    <t xml:space="preserve">Mijoz raqami</t>
  </si>
  <si>
    <t xml:space="preserve">Sales manager</t>
  </si>
  <si>
    <t>SKU-BRAND</t>
  </si>
  <si>
    <t>SKU-COUNTRY</t>
  </si>
  <si>
    <t>Operator-Code</t>
  </si>
  <si>
    <t>Beeline-Users</t>
  </si>
  <si>
    <t>AVERAGE-PRICE-UZ</t>
  </si>
  <si>
    <t>AVERAGE-KM&gt;50</t>
  </si>
  <si>
    <t>AVERAGE-UK-&gt;60000</t>
  </si>
  <si>
    <t>AVERAGE-Ucell</t>
  </si>
  <si>
    <t>AVERAGE-BMW</t>
  </si>
  <si>
    <t>SUM-TJ</t>
  </si>
  <si>
    <t>SUM-KZ</t>
  </si>
  <si>
    <t>MAX-UZ</t>
  </si>
  <si>
    <t>Ucell-Users</t>
  </si>
  <si>
    <t>BMW-UZ</t>
  </si>
  <si>
    <t>MAX-COUNT</t>
  </si>
  <si>
    <t>SUM-MAX</t>
  </si>
  <si>
    <t>MIN-COUNT</t>
  </si>
  <si>
    <t>SUM</t>
  </si>
  <si>
    <t>SUM-Olim</t>
  </si>
  <si>
    <t>SUM-Perfectum</t>
  </si>
  <si>
    <t>KIA-SUM</t>
  </si>
  <si>
    <t>COUNT-Umar</t>
  </si>
  <si>
    <t>SUM-Jasur</t>
  </si>
  <si>
    <t>COUNT-Sardor</t>
  </si>
  <si>
    <t>AVERAGE-Olim</t>
  </si>
  <si>
    <t>SUM-Umar</t>
  </si>
  <si>
    <t>SUM-UZ-BMW</t>
  </si>
  <si>
    <t>NIS-1312-KZ</t>
  </si>
  <si>
    <t>+998985354739</t>
  </si>
  <si>
    <t>Sardor</t>
  </si>
  <si>
    <t>BMW-6168-UZ</t>
  </si>
  <si>
    <t>+998988901831</t>
  </si>
  <si>
    <t>Jasur</t>
  </si>
  <si>
    <t>AUD-2040-TJ</t>
  </si>
  <si>
    <t>+998911152452</t>
  </si>
  <si>
    <t>Olim</t>
  </si>
  <si>
    <t>CHE-8830-UK</t>
  </si>
  <si>
    <t>+998939945787</t>
  </si>
  <si>
    <t>Umar</t>
  </si>
  <si>
    <t>BMW-1407-UK</t>
  </si>
  <si>
    <t>+998991759525</t>
  </si>
  <si>
    <t>NIS-5010-UZ</t>
  </si>
  <si>
    <t>+998981215878</t>
  </si>
  <si>
    <t>TOY-3529-KZ</t>
  </si>
  <si>
    <t>+998982278264</t>
  </si>
  <si>
    <t>AUD-6674-TJ</t>
  </si>
  <si>
    <t>+998917109276</t>
  </si>
  <si>
    <t>BMW-6850-UK</t>
  </si>
  <si>
    <t>+998931811840</t>
  </si>
  <si>
    <t>BMW-9448-UK</t>
  </si>
  <si>
    <t>+998998529210</t>
  </si>
  <si>
    <t>KIA-4397-KG</t>
  </si>
  <si>
    <t>+998986326090</t>
  </si>
  <si>
    <t>KIA-5312-UZ</t>
  </si>
  <si>
    <t>+998999341007</t>
  </si>
  <si>
    <t>CHE-2982-UK</t>
  </si>
  <si>
    <t>+998996863785</t>
  </si>
  <si>
    <t>BMW-7461-TJ</t>
  </si>
  <si>
    <t>+998998759322</t>
  </si>
  <si>
    <t>HYU-4891-UK</t>
  </si>
  <si>
    <t>+998986190050</t>
  </si>
  <si>
    <t>HYU-8295-UK</t>
  </si>
  <si>
    <t>+998993800561</t>
  </si>
  <si>
    <t>NIS-9165-TJ</t>
  </si>
  <si>
    <t>+998938913831</t>
  </si>
  <si>
    <t>HYU-7098-KZ</t>
  </si>
  <si>
    <t>+998937171537</t>
  </si>
  <si>
    <t>HYU-6384-UZ</t>
  </si>
  <si>
    <t>+998998950159</t>
  </si>
  <si>
    <t>KIA-9918-KG</t>
  </si>
  <si>
    <t>+998938199473</t>
  </si>
  <si>
    <t>TOY-9216-KG</t>
  </si>
  <si>
    <t>+998984591840</t>
  </si>
  <si>
    <t>TOY-9721-UZ</t>
  </si>
  <si>
    <t>+998990481413</t>
  </si>
  <si>
    <t>KIA-3575-KZ</t>
  </si>
  <si>
    <t>+998990034187</t>
  </si>
  <si>
    <t>NIS-7670-KG</t>
  </si>
  <si>
    <t>+998981999488</t>
  </si>
  <si>
    <t>CHE-4548-UK</t>
  </si>
  <si>
    <t>+998995664660</t>
  </si>
  <si>
    <t>BMW-4767-KG</t>
  </si>
  <si>
    <t>+998986531537</t>
  </si>
  <si>
    <t>BMW-2312-KG</t>
  </si>
  <si>
    <t>+998916024953</t>
  </si>
  <si>
    <t>KIA-3543-UK</t>
  </si>
  <si>
    <t>+998999020771</t>
  </si>
  <si>
    <t>AUD-9438-KZ</t>
  </si>
  <si>
    <t>+998918318086</t>
  </si>
  <si>
    <t>KIA-3158-KZ</t>
  </si>
  <si>
    <t>+998935013028</t>
  </si>
  <si>
    <t>HYU-1642-UK</t>
  </si>
  <si>
    <t>+998991265710</t>
  </si>
  <si>
    <t>CHE-5891-UZ</t>
  </si>
  <si>
    <t>+998934970901</t>
  </si>
  <si>
    <t>CHE-6507-UK</t>
  </si>
  <si>
    <t>+998919240571</t>
  </si>
  <si>
    <t>CHE-3442-UZ</t>
  </si>
  <si>
    <t>+998912860267</t>
  </si>
  <si>
    <t>MER-6224-TJ</t>
  </si>
  <si>
    <t>+998998525901</t>
  </si>
  <si>
    <t>HYU-5531-UZ</t>
  </si>
  <si>
    <t>+998991512196</t>
  </si>
  <si>
    <t>BMW-3698-KG</t>
  </si>
  <si>
    <t>+998990960910</t>
  </si>
  <si>
    <t>KIA-7166-UZ</t>
  </si>
  <si>
    <t>+998912349948</t>
  </si>
  <si>
    <t>AUD-5276-TJ</t>
  </si>
  <si>
    <t>+998996248558</t>
  </si>
  <si>
    <t>TOY-9980-UZ</t>
  </si>
  <si>
    <t>+998995397845</t>
  </si>
  <si>
    <t>NIS-2604-UZ</t>
  </si>
  <si>
    <t>+998999287306</t>
  </si>
  <si>
    <t>AUD-7292-UZ</t>
  </si>
  <si>
    <t>+998991613489</t>
  </si>
  <si>
    <t>NIS-3167-UK</t>
  </si>
  <si>
    <t>+998985104312</t>
  </si>
  <si>
    <t>HYU-5597-TJ</t>
  </si>
  <si>
    <t>+998987272177</t>
  </si>
  <si>
    <t>MER-3134-UZ</t>
  </si>
  <si>
    <t>+998915559998</t>
  </si>
  <si>
    <t>NIS-2917-KZ</t>
  </si>
  <si>
    <t>+998919888925</t>
  </si>
  <si>
    <t>TOY-2808-KG</t>
  </si>
  <si>
    <t>+998933890834</t>
  </si>
  <si>
    <t>NIS-5877-UK</t>
  </si>
  <si>
    <t>+998994607946</t>
  </si>
  <si>
    <t>AUD-4216-TJ</t>
  </si>
  <si>
    <t>+998913597518</t>
  </si>
  <si>
    <t>NIS-5949-TJ</t>
  </si>
  <si>
    <t>+998999228370</t>
  </si>
  <si>
    <t>BMW-9565-KZ</t>
  </si>
  <si>
    <t>+998983548932</t>
  </si>
  <si>
    <t>TOY-4370-KG</t>
  </si>
  <si>
    <t>+998910500422</t>
  </si>
  <si>
    <t>MER-7648-TJ</t>
  </si>
  <si>
    <t>+998999031346</t>
  </si>
  <si>
    <t>CHE-6215-UZ</t>
  </si>
  <si>
    <t>+998939088959</t>
  </si>
  <si>
    <t>NIS-9413-KG</t>
  </si>
  <si>
    <t>+998936228969</t>
  </si>
  <si>
    <t>NIS-7506-UK</t>
  </si>
  <si>
    <t>+998993255076</t>
  </si>
  <si>
    <t>NIS-1111-UK</t>
  </si>
  <si>
    <t>+998933777547</t>
  </si>
  <si>
    <t>AUD-4943-KG</t>
  </si>
  <si>
    <t>+998937268218</t>
  </si>
  <si>
    <t>KIA-6239-UK</t>
  </si>
  <si>
    <t>+998919950949</t>
  </si>
  <si>
    <t>AUD-6570-UZ</t>
  </si>
  <si>
    <t>+998990403605</t>
  </si>
  <si>
    <t>BMW-7830-UK</t>
  </si>
  <si>
    <t>+998997109848</t>
  </si>
  <si>
    <t>HYU-8749-KZ</t>
  </si>
  <si>
    <t>+998992183528</t>
  </si>
  <si>
    <t>TOY-2461-TJ</t>
  </si>
  <si>
    <t>+998994125530</t>
  </si>
  <si>
    <t>HYU-3090-UZ</t>
  </si>
  <si>
    <t>+998999345600</t>
  </si>
  <si>
    <t>HYU-7387-TJ</t>
  </si>
  <si>
    <t>+998990678865</t>
  </si>
  <si>
    <t>BMW-4647-UZ</t>
  </si>
  <si>
    <t>+998934889728</t>
  </si>
  <si>
    <t>MER-1736-TJ</t>
  </si>
  <si>
    <t>+998911559902</t>
  </si>
  <si>
    <t>KIA-7010-KZ</t>
  </si>
  <si>
    <t>+998990764906</t>
  </si>
  <si>
    <t>KIA-7904-KZ</t>
  </si>
  <si>
    <t>+998938826271</t>
  </si>
  <si>
    <t>AUD-3833-KG</t>
  </si>
  <si>
    <t>+998987322254</t>
  </si>
  <si>
    <t>CHE-1134-UK</t>
  </si>
  <si>
    <t>+998988529103</t>
  </si>
  <si>
    <t>NIS-3274-KZ</t>
  </si>
  <si>
    <t>+998938132529</t>
  </si>
  <si>
    <t>BMW-8280-TJ</t>
  </si>
  <si>
    <t>+998911320317</t>
  </si>
  <si>
    <t>NIS-7158-KZ</t>
  </si>
  <si>
    <t>+998991969382</t>
  </si>
  <si>
    <t>AUD-9195-UK</t>
  </si>
  <si>
    <t>+998996085997</t>
  </si>
  <si>
    <t>AUD-3179-KG</t>
  </si>
  <si>
    <t>+998936533699</t>
  </si>
  <si>
    <t>KIA-4308-KZ</t>
  </si>
  <si>
    <t>+998932711528</t>
  </si>
  <si>
    <t>KIA-7824-UK</t>
  </si>
  <si>
    <t>+998985652298</t>
  </si>
  <si>
    <t>TOY-7329-UZ</t>
  </si>
  <si>
    <t>+998992983510</t>
  </si>
  <si>
    <t>TOY-2499-UK</t>
  </si>
  <si>
    <t>+998999427525</t>
  </si>
  <si>
    <t>CHE-7538-UZ</t>
  </si>
  <si>
    <t>+998914977077</t>
  </si>
  <si>
    <t>CHE-9767-UK</t>
  </si>
  <si>
    <t>+998984856511</t>
  </si>
  <si>
    <t>BMW-2993-TJ</t>
  </si>
  <si>
    <t>+998995019159</t>
  </si>
  <si>
    <t>MER-6465-UZ</t>
  </si>
  <si>
    <t>+998995266923</t>
  </si>
  <si>
    <t>NIS-6661-KG</t>
  </si>
  <si>
    <t>+998980898444</t>
  </si>
  <si>
    <t>NIS-4893-TJ</t>
  </si>
  <si>
    <t>+998937135886</t>
  </si>
  <si>
    <t>CHE-7863-TJ</t>
  </si>
  <si>
    <t>+998910788579</t>
  </si>
  <si>
    <t>TOY-1527-UK</t>
  </si>
  <si>
    <t>+998919111237</t>
  </si>
  <si>
    <t>HYU-4251-UZ</t>
  </si>
  <si>
    <t>+998930003812</t>
  </si>
  <si>
    <t>KIA-4162-UK</t>
  </si>
  <si>
    <t>+998987171230</t>
  </si>
  <si>
    <t>AUD-9530-KG</t>
  </si>
  <si>
    <t>+998984160822</t>
  </si>
  <si>
    <t>KIA-4328-TJ</t>
  </si>
  <si>
    <t>+998984774188</t>
  </si>
  <si>
    <t>AUD-5665-TJ</t>
  </si>
  <si>
    <t>+998931509474</t>
  </si>
  <si>
    <t>HYU-1007-TJ</t>
  </si>
  <si>
    <t>+998915028193</t>
  </si>
  <si>
    <t>HYU-6373-UK</t>
  </si>
  <si>
    <t>+998988916450</t>
  </si>
  <si>
    <t>KIA-9746-KZ</t>
  </si>
  <si>
    <t>+998992114583</t>
  </si>
  <si>
    <t>BMW-5946-UZ</t>
  </si>
  <si>
    <t>+998980349865</t>
  </si>
  <si>
    <t>AUD-2372-KZ</t>
  </si>
  <si>
    <t>+998994921722</t>
  </si>
  <si>
    <t>AUD-7362-KZ</t>
  </si>
  <si>
    <t>+998939367389</t>
  </si>
  <si>
    <t>NIS-4013-UK</t>
  </si>
  <si>
    <t>+998999385172</t>
  </si>
  <si>
    <t>Shartlar</t>
  </si>
  <si>
    <r>
      <t xml:space="preserve">SKU dan </t>
    </r>
    <r>
      <rPr>
        <b/>
        <sz val="11"/>
        <color theme="1"/>
        <rFont val="Calibri"/>
        <scheme val="minor"/>
      </rPr>
      <t xml:space="preserve">brandni ajrating</t>
    </r>
    <r>
      <rPr>
        <sz val="11"/>
        <color theme="1"/>
        <rFont val="Calibri"/>
        <scheme val="minor"/>
      </rPr>
      <t xml:space="preserve"> (BMW, NIS, AUD…)</t>
    </r>
  </si>
  <si>
    <r>
      <t xml:space="preserve">SKU dan </t>
    </r>
    <r>
      <rPr>
        <b/>
        <sz val="11"/>
        <color theme="1"/>
        <rFont val="Calibri"/>
        <scheme val="minor"/>
      </rPr>
      <t xml:space="preserve">country ni ajrating</t>
    </r>
    <r>
      <rPr>
        <sz val="11"/>
        <color theme="1"/>
        <rFont val="Calibri"/>
        <scheme val="minor"/>
      </rPr>
      <t xml:space="preserve"> (UZ, KZ, UK, TJ)</t>
    </r>
  </si>
  <si>
    <r>
      <t xml:space="preserve">Telefon raqamdan </t>
    </r>
    <r>
      <rPr>
        <b/>
        <sz val="11"/>
        <color theme="1"/>
        <rFont val="Calibri"/>
        <scheme val="minor"/>
      </rPr>
      <t xml:space="preserve">operator kodini ajrating</t>
    </r>
    <r>
      <rPr>
        <sz val="11"/>
        <color theme="1"/>
        <rFont val="Calibri"/>
        <scheme val="minor"/>
      </rPr>
      <t xml:space="preserve"> va uni Ucell shu kabilar ko'rinishiga o'tkazing</t>
    </r>
  </si>
  <si>
    <t xml:space="preserve">Beeline (91) operatoridagi mijozlar soni nechta?</t>
  </si>
  <si>
    <t xml:space="preserve">UZ bo‘yicha o‘rtacha narx</t>
  </si>
  <si>
    <t xml:space="preserve">Masofa &gt; 50 km bo‘lganlar o‘rtacha narxi</t>
  </si>
  <si>
    <t xml:space="preserve">UK va narxi &gt; 60000 bo‘lganlar average</t>
  </si>
  <si>
    <t xml:space="preserve">Ucell (93) mijozlari bo‘yicha o‘rtacha narx</t>
  </si>
  <si>
    <t xml:space="preserve">BMW mashinalarining o‘rtacha narxi</t>
  </si>
  <si>
    <t xml:space="preserve">TJga sotilgan avtolar narxi</t>
  </si>
  <si>
    <t xml:space="preserve">KZga sotilgan avtolar narxi</t>
  </si>
  <si>
    <t xml:space="preserve">UZ ga sotilgan eng qimmat avto</t>
  </si>
  <si>
    <t xml:space="preserve">Ucell raqamli mijozlar avto soni</t>
  </si>
  <si>
    <t xml:space="preserve">BMW dan UZ ga sotilganlari</t>
  </si>
  <si>
    <t xml:space="preserve">Eng qimmat sotilgan avtolar soni</t>
  </si>
  <si>
    <t xml:space="preserve">Eng qimmat sotilgan avtolar jami summasi</t>
  </si>
  <si>
    <t xml:space="preserve">Eng arzon avtolar soni</t>
  </si>
  <si>
    <t xml:space="preserve">Jasur Ucell raqamli mijozga sotgan KIA 64000 dan katta va 90000 dan kichiklar summasi </t>
  </si>
  <si>
    <t xml:space="preserve">Olim 70000 dan qimmat nechta mashina sotgan</t>
  </si>
  <si>
    <t xml:space="preserve">Ucell operatorli mijozlar nechta mashina olgan</t>
  </si>
  <si>
    <t xml:space="preserve">Perfectum operatorli mijozlar jami nechi pullik mashina olgan</t>
  </si>
  <si>
    <t xml:space="preserve">KIA uchun yo'l xarajatlari nechi pul</t>
  </si>
  <si>
    <t xml:space="preserve">Umar sotgan Toyota va masofa &gt; 50 km bo‘lganlar soni</t>
  </si>
  <si>
    <t xml:space="preserve">Jasur sotgan Operator = 93 va narxi &gt; 70000 bo‘lganlar SUM</t>
  </si>
  <si>
    <t xml:space="preserve">Sardor Operator = 91 va masofa &lt; 50 km bo‘lganlar COUNT</t>
  </si>
  <si>
    <t xml:space="preserve">Operator Beeline  Olim sotgan Country = KZ va BMW bo‘yicha average narx</t>
  </si>
  <si>
    <t xml:space="preserve">Uzmobile operatorlariga Umar sotgan Masofa &gt; 50 km va narxi &gt; 70000 bo‘lganlar SUM</t>
  </si>
  <si>
    <t xml:space="preserve">BMW va UZ bo‘lgan mashinalar narxi yig‘indisi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</si>
</sst>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#,##0\ [$КМ-201A]"/>
    <numFmt numFmtId="165" formatCode="_-[$$-409]* #,##0_ ;_-[$$-409]* \-#,##0\ ;_-[$$-409]* &quot;-&quot;??_ ;_-@_ "/>
    <numFmt numFmtId="166" formatCode="_([$$-409]* #,##0.00_);_([$$-409]* \(#,##0.00\);_([$$-409]* &quot;-&quot;??_);_(@_)"/>
    <numFmt numFmtId="167" formatCode="_-* #,##0\ [$КМ-201A]_-;\-* #,##0\ [$КМ-201A]_-;_-* &quot;-&quot;??\ [$КМ-201A]_-;_-@_-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theme="9" tint="0.59999389629810485"/>
        <b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1" fillId="0" borderId="0" numFmtId="0" xfId="0" applyFont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1" numFmtId="165" xfId="0" applyNumberFormat="1" applyBorder="1" applyAlignment="1">
      <alignment horizontal="center" vertical="center"/>
    </xf>
    <xf fontId="0" fillId="0" borderId="1" numFmtId="166" xfId="0" applyNumberFormat="1" applyBorder="1" applyAlignment="1">
      <alignment horizontal="center" vertical="center"/>
    </xf>
    <xf fontId="0" fillId="0" borderId="1" numFmtId="167" xfId="0" applyNumberForma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0" borderId="1" numFmtId="0" xfId="0" applyFont="1" applyBorder="1"/>
    <xf fontId="0" fillId="0" borderId="1" numFmtId="0" xfId="0" applyBorder="1"/>
    <xf fontId="0" fillId="0" borderId="0" numFmtId="0" xfId="0" applyAlignment="1">
      <alignment horizontal="left" indent="1" vertical="center"/>
    </xf>
    <xf fontId="0" fillId="0" borderId="1" numFmtId="0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8" activeCellId="0" sqref="G8"/>
    </sheetView>
  </sheetViews>
  <sheetFormatPr defaultRowHeight="14.25"/>
  <cols>
    <col bestFit="1" customWidth="1" min="1" max="1" width="13.33203125"/>
    <col bestFit="1" customWidth="1" min="2" max="2" style="1" width="12.88671875"/>
    <col bestFit="1" customWidth="1" min="3" max="3" width="12"/>
    <col bestFit="1" customWidth="1" min="4" max="4" style="2" width="14.109375"/>
    <col bestFit="1" customWidth="1" min="5" max="5" width="8.44140625"/>
    <col bestFit="1" min="6" max="6" width="11.00390625"/>
    <col bestFit="1" min="7" max="7" width="13.28125"/>
    <col bestFit="1" min="8" max="8" width="13.953125"/>
    <col bestFit="1" customWidth="1" min="9" max="9" width="12.61328125"/>
    <col bestFit="1" min="10" max="10" width="17.76171875"/>
    <col bestFit="1" min="11" max="11" width="15.76171875"/>
    <col bestFit="1" min="12" max="12" width="19.09375"/>
    <col bestFit="1" min="13" max="13" width="14.23046875"/>
    <col bestFit="1" min="14" max="14" width="14.5234375"/>
    <col bestFit="1" min="17" max="17" width="9.6640625"/>
    <col bestFit="1" min="18" max="18" width="10.421875"/>
    <col bestFit="1" min="20" max="20" width="11.8515625"/>
    <col bestFit="1" min="21" max="21" width="9.6640625"/>
    <col bestFit="1" min="22" max="22" width="11.3828125"/>
    <col bestFit="1" min="24" max="24" width="11.19140625"/>
    <col bestFit="1" min="25" max="25" width="10.421875"/>
    <col bestFit="1" min="26" max="26" width="14.61328125"/>
    <col bestFit="1" min="28" max="28" width="12.5234375"/>
    <col bestFit="1" min="29" max="29" width="9.953125"/>
    <col bestFit="1" customWidth="1" min="30" max="30" width="13.47265625"/>
    <col bestFit="1" customWidth="1" min="31" max="31" width="13.76171875"/>
    <col bestFit="1" min="32" max="32" width="10.33203125"/>
    <col bestFit="1" min="33" max="33" width="13.3828125"/>
  </cols>
  <sheetData>
    <row r="1" s="3" customFormat="1" ht="57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17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</row>
    <row r="2">
      <c r="A2" s="7" t="s">
        <v>32</v>
      </c>
      <c r="B2" s="8">
        <v>58</v>
      </c>
      <c r="C2" s="9">
        <v>67200</v>
      </c>
      <c r="D2" s="7" t="s">
        <v>33</v>
      </c>
      <c r="E2" s="7" t="s">
        <v>34</v>
      </c>
      <c r="F2" s="7" t="str">
        <f t="shared" ref="F2:F9" si="0">LEFT(A2,3)</f>
        <v>NIS</v>
      </c>
      <c r="G2" s="7" t="str">
        <f t="shared" ref="G2:G9" si="1">RIGHT(A2,2)</f>
        <v>KZ</v>
      </c>
      <c r="H2" s="7" t="str">
        <f t="shared" ref="H2:H9" si="2">IF(OR(MID(D2,5,2)="90",MID(D2,5,2)="91"),"Beeline",IF(OR(MID(D2,5,2)="93",MID(D2,5,2)="94"),"Ucell",IF(OR(MID(D2,5,2)="95",MID(D2,5,2)="99"),"Uzmobile",IF(MID(D2,5,2)="97","Mobiuz",IF(MID(D2,5,2)="98","Perfectum",IF(MID(D2,5,2)="88","Humans","Unknown"))))))</f>
        <v>Perfectum</v>
      </c>
      <c r="I2" s="7">
        <f>COUNTIF(H2:H101,H88)</f>
        <v>18</v>
      </c>
      <c r="J2" s="7">
        <f>AVERAGEIF(G2:G101,G67,C2:C101)</f>
        <v>87150</v>
      </c>
      <c r="K2" s="10">
        <f>AVERAGEIF(B2:B101,"&gt;50",C2:C101)</f>
        <v>85577.272727272721</v>
      </c>
      <c r="L2" s="9">
        <f>AVERAGEIFS(C2:C101,G2:G101,G101,C2:C101,"&gt;60000")</f>
        <v>85148</v>
      </c>
      <c r="M2" s="7">
        <f>AVERAGEIF(H2:H101,H100,C2:C101)</f>
        <v>84219.047619047618</v>
      </c>
      <c r="N2" s="7">
        <f>AVERAGEIF(F2:F101,F98,C2:C101)</f>
        <v>85664.28571428571</v>
      </c>
      <c r="O2" s="7">
        <f>SUMIF(G2:G101,G95,C2:C101)</f>
        <v>1710500</v>
      </c>
      <c r="P2" s="7">
        <f>SUMIF(G2:G101,G99,C2:C101)</f>
        <v>1450400</v>
      </c>
      <c r="Q2" s="9">
        <f>_xlfn.MAXIFS(C2:C101,G2:G101,G3)</f>
        <v>118500</v>
      </c>
      <c r="R2" s="7">
        <f>COUNTIF(H2:H101,H94)</f>
        <v>21</v>
      </c>
      <c r="S2" s="7">
        <f>COUNTIFS(F2:F101,F98,G2:G101,G3)</f>
        <v>3</v>
      </c>
      <c r="T2" s="7">
        <f>COUNTIF(C2:C101,MAX(C2:C101))</f>
        <v>1</v>
      </c>
      <c r="U2" s="9">
        <f>SUMIF(C2:C101,MAX(C2:C101),C2:C101)</f>
        <v>120000</v>
      </c>
      <c r="V2" s="7">
        <f>COUNTIF(C2:C101,MIN(C2:C101))</f>
        <v>1</v>
      </c>
      <c r="W2" s="9">
        <f>SUMIFS(C2:C101,E2:E101,E83,F2:F101,F12,H2:H101,H100,C2:C101,"&gt;64000",C2:C101,"&lt;90000")</f>
        <v>0</v>
      </c>
      <c r="X2" s="9">
        <f>SUMIFS(C2:C101,E2:E101,E4,C2:C101,"&gt;70000")</f>
        <v>1739300</v>
      </c>
      <c r="Y2" s="7">
        <f>COUNTIF(O2:O101,O94)</f>
        <v>99</v>
      </c>
      <c r="Z2" s="7">
        <f>SUMIF(H2:H101,H92,C2:C101)</f>
        <v>1858600</v>
      </c>
      <c r="AA2" s="7">
        <f>SUMIF(F2:F101,F97,C2:C101)</f>
        <v>1260200</v>
      </c>
      <c r="AB2" s="7">
        <f>COUNTIFS(E2:E101,E5,F2:F101,F89,B2:B101,"&gt;50")</f>
        <v>1</v>
      </c>
      <c r="AC2" s="9">
        <f>SUMIFS(C2:C101,C2:C101,"&gt;70000",E2:E101,E65,H2:H101,H5)</f>
        <v>0</v>
      </c>
      <c r="AD2" s="7">
        <f>COUNTIFS(E2:E101,E101,B2:B101,"&lt;50",H2:H101,H95)</f>
        <v>2</v>
      </c>
      <c r="AE2" s="9" t="e">
        <f>AVERAGEIFS(C2:C101,G2:G101,G2,H2:H101,H95,F2:F101,F3)</f>
        <v>#DIV/0!</v>
      </c>
      <c r="AF2" s="9">
        <f>SUMIFS(C2:C101,H2:H101,H6,E2:E101,E100,C2:C101,"&gt;70000",B2:B101,"&gt;50")</f>
        <v>387300</v>
      </c>
      <c r="AG2" s="9">
        <f>SUMIFS(C2:C101,G2:G101,G90,F2:F101,F3)</f>
        <v>288500</v>
      </c>
    </row>
    <row r="3">
      <c r="A3" s="7" t="s">
        <v>35</v>
      </c>
      <c r="B3" s="11">
        <v>16</v>
      </c>
      <c r="C3" s="9">
        <v>101600</v>
      </c>
      <c r="D3" s="7" t="s">
        <v>36</v>
      </c>
      <c r="E3" s="7" t="s">
        <v>37</v>
      </c>
      <c r="F3" s="7" t="str">
        <f t="shared" si="0"/>
        <v>BMW</v>
      </c>
      <c r="G3" s="7" t="str">
        <f t="shared" si="1"/>
        <v>UZ</v>
      </c>
      <c r="H3" s="12" t="str">
        <f t="shared" si="2"/>
        <v>Perfectum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7" t="s">
        <v>38</v>
      </c>
      <c r="B4" s="11">
        <v>50</v>
      </c>
      <c r="C4" s="9">
        <v>74100</v>
      </c>
      <c r="D4" s="7" t="s">
        <v>39</v>
      </c>
      <c r="E4" s="7" t="s">
        <v>40</v>
      </c>
      <c r="F4" s="7" t="str">
        <f t="shared" si="0"/>
        <v>AUD</v>
      </c>
      <c r="G4" s="7" t="str">
        <f t="shared" si="1"/>
        <v>TJ</v>
      </c>
      <c r="H4" s="12" t="str">
        <f t="shared" si="2"/>
        <v>Beeline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7" t="s">
        <v>41</v>
      </c>
      <c r="B5" s="11">
        <v>27</v>
      </c>
      <c r="C5" s="9">
        <v>69600</v>
      </c>
      <c r="D5" s="7" t="s">
        <v>42</v>
      </c>
      <c r="E5" s="7" t="s">
        <v>43</v>
      </c>
      <c r="F5" s="7" t="str">
        <f t="shared" si="0"/>
        <v>CHE</v>
      </c>
      <c r="G5" s="7" t="str">
        <f t="shared" si="1"/>
        <v>UK</v>
      </c>
      <c r="H5" s="12" t="str">
        <f t="shared" si="2"/>
        <v>Ucell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7" t="s">
        <v>44</v>
      </c>
      <c r="B6" s="11">
        <v>81</v>
      </c>
      <c r="C6" s="9">
        <v>61800</v>
      </c>
      <c r="D6" s="7" t="s">
        <v>45</v>
      </c>
      <c r="E6" s="7" t="s">
        <v>34</v>
      </c>
      <c r="F6" s="7" t="str">
        <f t="shared" si="0"/>
        <v>BMW</v>
      </c>
      <c r="G6" s="7" t="str">
        <f t="shared" si="1"/>
        <v>UK</v>
      </c>
      <c r="H6" s="12" t="str">
        <f t="shared" si="2"/>
        <v>Uzmobile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7" t="s">
        <v>46</v>
      </c>
      <c r="B7" s="11">
        <v>45</v>
      </c>
      <c r="C7" s="9">
        <v>97700</v>
      </c>
      <c r="D7" s="7" t="s">
        <v>47</v>
      </c>
      <c r="E7" s="7" t="s">
        <v>37</v>
      </c>
      <c r="F7" s="7" t="str">
        <f t="shared" si="0"/>
        <v>NIS</v>
      </c>
      <c r="G7" s="7" t="str">
        <f t="shared" si="1"/>
        <v>UZ</v>
      </c>
      <c r="H7" s="12" t="str">
        <f t="shared" si="2"/>
        <v>Perfectum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7" t="s">
        <v>48</v>
      </c>
      <c r="B8" s="11">
        <v>150</v>
      </c>
      <c r="C8" s="9">
        <v>56400</v>
      </c>
      <c r="D8" s="7" t="s">
        <v>49</v>
      </c>
      <c r="E8" s="7" t="s">
        <v>40</v>
      </c>
      <c r="F8" s="7" t="str">
        <f t="shared" si="0"/>
        <v>TOY</v>
      </c>
      <c r="G8" s="7" t="str">
        <f t="shared" si="1"/>
        <v>KZ</v>
      </c>
      <c r="H8" s="12" t="str">
        <f t="shared" si="2"/>
        <v>Perfectum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7" t="s">
        <v>50</v>
      </c>
      <c r="B9" s="11">
        <v>52</v>
      </c>
      <c r="C9" s="9">
        <v>56600</v>
      </c>
      <c r="D9" s="7" t="s">
        <v>51</v>
      </c>
      <c r="E9" s="7" t="s">
        <v>43</v>
      </c>
      <c r="F9" s="7" t="str">
        <f t="shared" si="0"/>
        <v>AUD</v>
      </c>
      <c r="G9" s="7" t="str">
        <f t="shared" si="1"/>
        <v>TJ</v>
      </c>
      <c r="H9" s="12" t="str">
        <f t="shared" si="2"/>
        <v>Beeline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7" t="s">
        <v>52</v>
      </c>
      <c r="B10" s="11">
        <v>1</v>
      </c>
      <c r="C10" s="9">
        <v>109300</v>
      </c>
      <c r="D10" s="7" t="s">
        <v>53</v>
      </c>
      <c r="E10" s="7" t="s">
        <v>34</v>
      </c>
      <c r="F10" s="7" t="str">
        <f t="shared" ref="F10:F73" si="3">LEFT(A10,3)</f>
        <v>BMW</v>
      </c>
      <c r="G10" s="7" t="str">
        <f t="shared" ref="G10:G73" si="4">RIGHT(A10,2)</f>
        <v>UK</v>
      </c>
      <c r="H10" s="12" t="str">
        <f t="shared" ref="H10:H73" si="5">IF(OR(MID(D10,5,2)="90",MID(D10,5,2)="91"),"Beeline",IF(OR(MID(D10,5,2)="93",MID(D10,5,2)="94"),"Ucell",IF(OR(MID(D10,5,2)="95",MID(D10,5,2)="99"),"Uzmobile",IF(MID(D10,5,2)="97","Mobiuz",IF(MID(D10,5,2)="98","Perfectum",IF(MID(D10,5,2)="88","Humans","Unknown"))))))</f>
        <v>Ucell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7" t="s">
        <v>54</v>
      </c>
      <c r="B11" s="11">
        <v>24</v>
      </c>
      <c r="C11" s="9">
        <v>64300</v>
      </c>
      <c r="D11" s="7" t="s">
        <v>55</v>
      </c>
      <c r="E11" s="7" t="s">
        <v>43</v>
      </c>
      <c r="F11" s="7" t="str">
        <f t="shared" si="3"/>
        <v>BMW</v>
      </c>
      <c r="G11" s="7" t="str">
        <f t="shared" si="4"/>
        <v>UK</v>
      </c>
      <c r="H11" s="12" t="str">
        <f t="shared" si="5"/>
        <v>Uzmobile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7" t="s">
        <v>56</v>
      </c>
      <c r="B12" s="11">
        <v>102</v>
      </c>
      <c r="C12" s="9">
        <v>77100</v>
      </c>
      <c r="D12" s="7" t="s">
        <v>57</v>
      </c>
      <c r="E12" s="7" t="s">
        <v>34</v>
      </c>
      <c r="F12" s="7" t="str">
        <f t="shared" si="3"/>
        <v>KIA</v>
      </c>
      <c r="G12" s="7" t="str">
        <f t="shared" si="4"/>
        <v>KG</v>
      </c>
      <c r="H12" s="12" t="str">
        <f t="shared" si="5"/>
        <v>Perfectum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7" t="s">
        <v>58</v>
      </c>
      <c r="B13" s="11">
        <v>30</v>
      </c>
      <c r="C13" s="9">
        <v>69700</v>
      </c>
      <c r="D13" s="7" t="s">
        <v>59</v>
      </c>
      <c r="E13" s="7" t="s">
        <v>37</v>
      </c>
      <c r="F13" s="7" t="str">
        <f t="shared" si="3"/>
        <v>KIA</v>
      </c>
      <c r="G13" s="7" t="str">
        <f t="shared" si="4"/>
        <v>UZ</v>
      </c>
      <c r="H13" s="12" t="str">
        <f t="shared" si="5"/>
        <v>Uzmobile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7" t="s">
        <v>60</v>
      </c>
      <c r="B14" s="11">
        <v>112</v>
      </c>
      <c r="C14" s="9">
        <v>112500</v>
      </c>
      <c r="D14" s="7" t="s">
        <v>61</v>
      </c>
      <c r="E14" s="7" t="s">
        <v>40</v>
      </c>
      <c r="F14" s="7" t="str">
        <f t="shared" si="3"/>
        <v>CHE</v>
      </c>
      <c r="G14" s="7" t="str">
        <f t="shared" si="4"/>
        <v>UK</v>
      </c>
      <c r="H14" s="12" t="str">
        <f t="shared" si="5"/>
        <v>Uzmobile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7" t="s">
        <v>62</v>
      </c>
      <c r="B15" s="11">
        <v>96</v>
      </c>
      <c r="C15" s="9">
        <v>60200</v>
      </c>
      <c r="D15" s="7" t="s">
        <v>63</v>
      </c>
      <c r="E15" s="7" t="s">
        <v>43</v>
      </c>
      <c r="F15" s="7" t="str">
        <f t="shared" si="3"/>
        <v>BMW</v>
      </c>
      <c r="G15" s="7" t="str">
        <f t="shared" si="4"/>
        <v>TJ</v>
      </c>
      <c r="H15" s="12" t="str">
        <f t="shared" si="5"/>
        <v>Uzmobile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7" t="s">
        <v>64</v>
      </c>
      <c r="B16" s="11">
        <v>113</v>
      </c>
      <c r="C16" s="9">
        <v>51900</v>
      </c>
      <c r="D16" s="7" t="s">
        <v>65</v>
      </c>
      <c r="E16" s="7" t="s">
        <v>34</v>
      </c>
      <c r="F16" s="7" t="str">
        <f t="shared" si="3"/>
        <v>HYU</v>
      </c>
      <c r="G16" s="7" t="str">
        <f t="shared" si="4"/>
        <v>UK</v>
      </c>
      <c r="H16" s="12" t="str">
        <f t="shared" si="5"/>
        <v>Perfectum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7" t="s">
        <v>66</v>
      </c>
      <c r="B17" s="11">
        <v>124</v>
      </c>
      <c r="C17" s="9">
        <v>120000</v>
      </c>
      <c r="D17" s="7" t="s">
        <v>67</v>
      </c>
      <c r="E17" s="7" t="s">
        <v>37</v>
      </c>
      <c r="F17" s="7" t="str">
        <f t="shared" si="3"/>
        <v>HYU</v>
      </c>
      <c r="G17" s="7" t="str">
        <f t="shared" si="4"/>
        <v>UK</v>
      </c>
      <c r="H17" s="12" t="str">
        <f t="shared" si="5"/>
        <v>Uzmobile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7" t="s">
        <v>68</v>
      </c>
      <c r="B18" s="11">
        <v>122</v>
      </c>
      <c r="C18" s="9">
        <v>117100</v>
      </c>
      <c r="D18" s="7" t="s">
        <v>69</v>
      </c>
      <c r="E18" s="7" t="s">
        <v>40</v>
      </c>
      <c r="F18" s="7" t="str">
        <f t="shared" si="3"/>
        <v>NIS</v>
      </c>
      <c r="G18" s="7" t="str">
        <f t="shared" si="4"/>
        <v>TJ</v>
      </c>
      <c r="H18" s="12" t="str">
        <f t="shared" si="5"/>
        <v>Ucell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7" t="s">
        <v>70</v>
      </c>
      <c r="B19" s="11">
        <v>67</v>
      </c>
      <c r="C19" s="9">
        <v>56200</v>
      </c>
      <c r="D19" s="7" t="s">
        <v>71</v>
      </c>
      <c r="E19" s="7" t="s">
        <v>43</v>
      </c>
      <c r="F19" s="7" t="str">
        <f t="shared" si="3"/>
        <v>HYU</v>
      </c>
      <c r="G19" s="7" t="str">
        <f t="shared" si="4"/>
        <v>KZ</v>
      </c>
      <c r="H19" s="12" t="str">
        <f t="shared" si="5"/>
        <v>Ucell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7" t="s">
        <v>72</v>
      </c>
      <c r="B20" s="11">
        <v>114</v>
      </c>
      <c r="C20" s="9">
        <v>118500</v>
      </c>
      <c r="D20" s="7" t="s">
        <v>73</v>
      </c>
      <c r="E20" s="7" t="s">
        <v>34</v>
      </c>
      <c r="F20" s="7" t="str">
        <f t="shared" si="3"/>
        <v>HYU</v>
      </c>
      <c r="G20" s="7" t="str">
        <f t="shared" si="4"/>
        <v>UZ</v>
      </c>
      <c r="H20" s="12" t="str">
        <f t="shared" si="5"/>
        <v>Uzmobile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7" t="s">
        <v>74</v>
      </c>
      <c r="B21" s="11">
        <v>7</v>
      </c>
      <c r="C21" s="9">
        <v>64000</v>
      </c>
      <c r="D21" s="7" t="s">
        <v>75</v>
      </c>
      <c r="E21" s="7" t="s">
        <v>43</v>
      </c>
      <c r="F21" s="7" t="str">
        <f t="shared" si="3"/>
        <v>KIA</v>
      </c>
      <c r="G21" s="7" t="str">
        <f t="shared" si="4"/>
        <v>KG</v>
      </c>
      <c r="H21" s="12" t="str">
        <f t="shared" si="5"/>
        <v>Ucell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7" t="s">
        <v>76</v>
      </c>
      <c r="B22" s="11">
        <v>116</v>
      </c>
      <c r="C22" s="9">
        <v>72600</v>
      </c>
      <c r="D22" s="7" t="s">
        <v>77</v>
      </c>
      <c r="E22" s="7" t="s">
        <v>34</v>
      </c>
      <c r="F22" s="7" t="str">
        <f t="shared" si="3"/>
        <v>TOY</v>
      </c>
      <c r="G22" s="7" t="str">
        <f t="shared" si="4"/>
        <v>KG</v>
      </c>
      <c r="H22" s="12" t="str">
        <f t="shared" si="5"/>
        <v>Perfectum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7" t="s">
        <v>78</v>
      </c>
      <c r="B23" s="11">
        <v>17</v>
      </c>
      <c r="C23" s="9">
        <v>116800</v>
      </c>
      <c r="D23" s="7" t="s">
        <v>79</v>
      </c>
      <c r="E23" s="7" t="s">
        <v>40</v>
      </c>
      <c r="F23" s="7" t="str">
        <f t="shared" si="3"/>
        <v>TOY</v>
      </c>
      <c r="G23" s="7" t="str">
        <f t="shared" si="4"/>
        <v>UZ</v>
      </c>
      <c r="H23" s="12" t="str">
        <f t="shared" si="5"/>
        <v>Uzmobile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7" t="s">
        <v>80</v>
      </c>
      <c r="B24" s="11">
        <v>98</v>
      </c>
      <c r="C24" s="9">
        <v>90700</v>
      </c>
      <c r="D24" s="7" t="s">
        <v>81</v>
      </c>
      <c r="E24" s="7" t="s">
        <v>43</v>
      </c>
      <c r="F24" s="7" t="str">
        <f t="shared" si="3"/>
        <v>KIA</v>
      </c>
      <c r="G24" s="7" t="str">
        <f t="shared" si="4"/>
        <v>KZ</v>
      </c>
      <c r="H24" s="12" t="str">
        <f t="shared" si="5"/>
        <v>Uzmobile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7" t="s">
        <v>82</v>
      </c>
      <c r="B25" s="11">
        <v>106</v>
      </c>
      <c r="C25" s="9">
        <v>112900</v>
      </c>
      <c r="D25" s="7" t="s">
        <v>83</v>
      </c>
      <c r="E25" s="7" t="s">
        <v>34</v>
      </c>
      <c r="F25" s="7" t="str">
        <f t="shared" si="3"/>
        <v>NIS</v>
      </c>
      <c r="G25" s="7" t="str">
        <f t="shared" si="4"/>
        <v>KG</v>
      </c>
      <c r="H25" s="12" t="str">
        <f t="shared" si="5"/>
        <v>Perfectum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7" t="s">
        <v>84</v>
      </c>
      <c r="B26" s="11">
        <v>23</v>
      </c>
      <c r="C26" s="9">
        <v>102700</v>
      </c>
      <c r="D26" s="7" t="s">
        <v>85</v>
      </c>
      <c r="E26" s="7" t="s">
        <v>37</v>
      </c>
      <c r="F26" s="7" t="str">
        <f t="shared" si="3"/>
        <v>CHE</v>
      </c>
      <c r="G26" s="7" t="str">
        <f t="shared" si="4"/>
        <v>UK</v>
      </c>
      <c r="H26" s="12" t="str">
        <f t="shared" si="5"/>
        <v>Uzmobile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7" t="s">
        <v>86</v>
      </c>
      <c r="B27" s="11">
        <v>44</v>
      </c>
      <c r="C27" s="9">
        <v>115000</v>
      </c>
      <c r="D27" s="7" t="s">
        <v>87</v>
      </c>
      <c r="E27" s="7" t="s">
        <v>40</v>
      </c>
      <c r="F27" s="7" t="str">
        <f t="shared" si="3"/>
        <v>BMW</v>
      </c>
      <c r="G27" s="7" t="str">
        <f t="shared" si="4"/>
        <v>KG</v>
      </c>
      <c r="H27" s="12" t="str">
        <f t="shared" si="5"/>
        <v>Perfectum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7" t="s">
        <v>88</v>
      </c>
      <c r="B28" s="11">
        <v>37</v>
      </c>
      <c r="C28" s="9">
        <v>55600</v>
      </c>
      <c r="D28" s="7" t="s">
        <v>89</v>
      </c>
      <c r="E28" s="7" t="s">
        <v>43</v>
      </c>
      <c r="F28" s="7" t="str">
        <f t="shared" si="3"/>
        <v>BMW</v>
      </c>
      <c r="G28" s="7" t="str">
        <f t="shared" si="4"/>
        <v>KG</v>
      </c>
      <c r="H28" s="12" t="str">
        <f t="shared" si="5"/>
        <v>Beeline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7" t="s">
        <v>90</v>
      </c>
      <c r="B29" s="11">
        <v>63</v>
      </c>
      <c r="C29" s="9">
        <v>88400</v>
      </c>
      <c r="D29" s="7" t="s">
        <v>91</v>
      </c>
      <c r="E29" s="7" t="s">
        <v>37</v>
      </c>
      <c r="F29" s="7" t="str">
        <f t="shared" si="3"/>
        <v>KIA</v>
      </c>
      <c r="G29" s="7" t="str">
        <f t="shared" si="4"/>
        <v>UK</v>
      </c>
      <c r="H29" s="12" t="str">
        <f t="shared" si="5"/>
        <v>Uzmobile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7" t="s">
        <v>92</v>
      </c>
      <c r="B30" s="11">
        <v>19</v>
      </c>
      <c r="C30" s="9">
        <v>72800</v>
      </c>
      <c r="D30" s="7" t="s">
        <v>93</v>
      </c>
      <c r="E30" s="7" t="s">
        <v>40</v>
      </c>
      <c r="F30" s="7" t="str">
        <f t="shared" si="3"/>
        <v>AUD</v>
      </c>
      <c r="G30" s="7" t="str">
        <f t="shared" si="4"/>
        <v>KZ</v>
      </c>
      <c r="H30" s="12" t="str">
        <f t="shared" si="5"/>
        <v>Beeline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7" t="s">
        <v>94</v>
      </c>
      <c r="B31" s="11">
        <v>106</v>
      </c>
      <c r="C31" s="9">
        <v>103600</v>
      </c>
      <c r="D31" s="7" t="s">
        <v>95</v>
      </c>
      <c r="E31" s="7" t="s">
        <v>43</v>
      </c>
      <c r="F31" s="7" t="str">
        <f t="shared" si="3"/>
        <v>KIA</v>
      </c>
      <c r="G31" s="7" t="str">
        <f t="shared" si="4"/>
        <v>KZ</v>
      </c>
      <c r="H31" s="12" t="str">
        <f t="shared" si="5"/>
        <v>Ucell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7" t="s">
        <v>96</v>
      </c>
      <c r="B32" s="11">
        <v>58</v>
      </c>
      <c r="C32" s="9">
        <v>71300</v>
      </c>
      <c r="D32" s="7" t="s">
        <v>97</v>
      </c>
      <c r="E32" s="7" t="s">
        <v>34</v>
      </c>
      <c r="F32" s="7" t="str">
        <f t="shared" si="3"/>
        <v>HYU</v>
      </c>
      <c r="G32" s="7" t="str">
        <f t="shared" si="4"/>
        <v>UK</v>
      </c>
      <c r="H32" s="12" t="str">
        <f t="shared" si="5"/>
        <v>Uzmobile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7" t="s">
        <v>98</v>
      </c>
      <c r="B33" s="11">
        <v>94</v>
      </c>
      <c r="C33" s="9">
        <v>50300</v>
      </c>
      <c r="D33" s="7" t="s">
        <v>99</v>
      </c>
      <c r="E33" s="7" t="s">
        <v>37</v>
      </c>
      <c r="F33" s="7" t="str">
        <f t="shared" si="3"/>
        <v>CHE</v>
      </c>
      <c r="G33" s="7" t="str">
        <f t="shared" si="4"/>
        <v>UZ</v>
      </c>
      <c r="H33" s="12" t="str">
        <f t="shared" si="5"/>
        <v>Ucell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7" t="s">
        <v>100</v>
      </c>
      <c r="B34" s="11">
        <v>145</v>
      </c>
      <c r="C34" s="9">
        <v>99500</v>
      </c>
      <c r="D34" s="7" t="s">
        <v>101</v>
      </c>
      <c r="E34" s="7" t="s">
        <v>40</v>
      </c>
      <c r="F34" s="7" t="str">
        <f t="shared" si="3"/>
        <v>CHE</v>
      </c>
      <c r="G34" s="7" t="str">
        <f t="shared" si="4"/>
        <v>UK</v>
      </c>
      <c r="H34" s="12" t="str">
        <f t="shared" si="5"/>
        <v>Beeline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7" t="s">
        <v>102</v>
      </c>
      <c r="B35" s="11">
        <v>16</v>
      </c>
      <c r="C35" s="9">
        <v>83500</v>
      </c>
      <c r="D35" s="7" t="s">
        <v>103</v>
      </c>
      <c r="E35" s="7" t="s">
        <v>43</v>
      </c>
      <c r="F35" s="7" t="str">
        <f t="shared" si="3"/>
        <v>CHE</v>
      </c>
      <c r="G35" s="7" t="str">
        <f t="shared" si="4"/>
        <v>UZ</v>
      </c>
      <c r="H35" s="12" t="str">
        <f t="shared" si="5"/>
        <v>Beeline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7" t="s">
        <v>104</v>
      </c>
      <c r="B36" s="11">
        <v>63</v>
      </c>
      <c r="C36" s="9">
        <v>116500</v>
      </c>
      <c r="D36" s="7" t="s">
        <v>105</v>
      </c>
      <c r="E36" s="7" t="s">
        <v>34</v>
      </c>
      <c r="F36" s="7" t="str">
        <f t="shared" si="3"/>
        <v>MER</v>
      </c>
      <c r="G36" s="7" t="str">
        <f t="shared" si="4"/>
        <v>TJ</v>
      </c>
      <c r="H36" s="12" t="str">
        <f t="shared" si="5"/>
        <v>Uzmobile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7" t="s">
        <v>106</v>
      </c>
      <c r="B37" s="11">
        <v>117</v>
      </c>
      <c r="C37" s="9">
        <v>117800</v>
      </c>
      <c r="D37" s="7" t="s">
        <v>107</v>
      </c>
      <c r="E37" s="7" t="s">
        <v>43</v>
      </c>
      <c r="F37" s="7" t="str">
        <f t="shared" si="3"/>
        <v>HYU</v>
      </c>
      <c r="G37" s="7" t="str">
        <f t="shared" si="4"/>
        <v>UZ</v>
      </c>
      <c r="H37" s="12" t="str">
        <f t="shared" si="5"/>
        <v>Uzmobile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7" t="s">
        <v>108</v>
      </c>
      <c r="B38" s="11">
        <v>46</v>
      </c>
      <c r="C38" s="9">
        <v>89500</v>
      </c>
      <c r="D38" s="7" t="s">
        <v>109</v>
      </c>
      <c r="E38" s="7" t="s">
        <v>34</v>
      </c>
      <c r="F38" s="7" t="str">
        <f t="shared" si="3"/>
        <v>BMW</v>
      </c>
      <c r="G38" s="7" t="str">
        <f t="shared" si="4"/>
        <v>KG</v>
      </c>
      <c r="H38" s="12" t="str">
        <f t="shared" si="5"/>
        <v>Uzmobile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7" t="s">
        <v>110</v>
      </c>
      <c r="B39" s="11">
        <v>54</v>
      </c>
      <c r="C39" s="9">
        <v>79200</v>
      </c>
      <c r="D39" s="7" t="s">
        <v>111</v>
      </c>
      <c r="E39" s="7" t="s">
        <v>40</v>
      </c>
      <c r="F39" s="7" t="str">
        <f t="shared" si="3"/>
        <v>KIA</v>
      </c>
      <c r="G39" s="7" t="str">
        <f t="shared" si="4"/>
        <v>UZ</v>
      </c>
      <c r="H39" s="12" t="str">
        <f t="shared" si="5"/>
        <v>Beeline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7" t="s">
        <v>112</v>
      </c>
      <c r="B40" s="11">
        <v>83</v>
      </c>
      <c r="C40" s="9">
        <v>94000</v>
      </c>
      <c r="D40" s="7" t="s">
        <v>113</v>
      </c>
      <c r="E40" s="7" t="s">
        <v>34</v>
      </c>
      <c r="F40" s="7" t="str">
        <f t="shared" si="3"/>
        <v>AUD</v>
      </c>
      <c r="G40" s="7" t="str">
        <f t="shared" si="4"/>
        <v>TJ</v>
      </c>
      <c r="H40" s="12" t="str">
        <f t="shared" si="5"/>
        <v>Uzmobile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7" t="s">
        <v>114</v>
      </c>
      <c r="B41" s="11">
        <v>92</v>
      </c>
      <c r="C41" s="9">
        <v>59100</v>
      </c>
      <c r="D41" s="7" t="s">
        <v>115</v>
      </c>
      <c r="E41" s="7" t="s">
        <v>37</v>
      </c>
      <c r="F41" s="7" t="str">
        <f t="shared" si="3"/>
        <v>TOY</v>
      </c>
      <c r="G41" s="7" t="str">
        <f t="shared" si="4"/>
        <v>UZ</v>
      </c>
      <c r="H41" s="12" t="str">
        <f t="shared" si="5"/>
        <v>Uzmobile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7" t="s">
        <v>116</v>
      </c>
      <c r="B42" s="11">
        <v>52</v>
      </c>
      <c r="C42" s="9">
        <v>110300</v>
      </c>
      <c r="D42" s="7" t="s">
        <v>117</v>
      </c>
      <c r="E42" s="7" t="s">
        <v>40</v>
      </c>
      <c r="F42" s="7" t="str">
        <f t="shared" si="3"/>
        <v>NIS</v>
      </c>
      <c r="G42" s="7" t="str">
        <f t="shared" si="4"/>
        <v>UZ</v>
      </c>
      <c r="H42" s="12" t="str">
        <f t="shared" si="5"/>
        <v>Uzmobile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7" t="s">
        <v>118</v>
      </c>
      <c r="B43" s="11">
        <v>80</v>
      </c>
      <c r="C43" s="9">
        <v>96200</v>
      </c>
      <c r="D43" s="7" t="s">
        <v>119</v>
      </c>
      <c r="E43" s="7" t="s">
        <v>43</v>
      </c>
      <c r="F43" s="7" t="str">
        <f t="shared" si="3"/>
        <v>AUD</v>
      </c>
      <c r="G43" s="7" t="str">
        <f t="shared" si="4"/>
        <v>UZ</v>
      </c>
      <c r="H43" s="12" t="str">
        <f t="shared" si="5"/>
        <v>Uzmobile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7" t="s">
        <v>120</v>
      </c>
      <c r="B44" s="11">
        <v>110</v>
      </c>
      <c r="C44" s="9">
        <v>73700</v>
      </c>
      <c r="D44" s="7" t="s">
        <v>121</v>
      </c>
      <c r="E44" s="7" t="s">
        <v>34</v>
      </c>
      <c r="F44" s="7" t="str">
        <f t="shared" si="3"/>
        <v>NIS</v>
      </c>
      <c r="G44" s="7" t="str">
        <f t="shared" si="4"/>
        <v>UK</v>
      </c>
      <c r="H44" s="12" t="str">
        <f t="shared" si="5"/>
        <v>Perfectum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7" t="s">
        <v>122</v>
      </c>
      <c r="B45" s="11">
        <v>125</v>
      </c>
      <c r="C45" s="9">
        <v>109600</v>
      </c>
      <c r="D45" s="7" t="s">
        <v>123</v>
      </c>
      <c r="E45" s="7" t="s">
        <v>43</v>
      </c>
      <c r="F45" s="7" t="str">
        <f t="shared" si="3"/>
        <v>HYU</v>
      </c>
      <c r="G45" s="7" t="str">
        <f t="shared" si="4"/>
        <v>TJ</v>
      </c>
      <c r="H45" s="12" t="str">
        <f t="shared" si="5"/>
        <v>Perfectum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7" t="s">
        <v>124</v>
      </c>
      <c r="B46" s="11">
        <v>136</v>
      </c>
      <c r="C46" s="9">
        <v>50500</v>
      </c>
      <c r="D46" s="7" t="s">
        <v>125</v>
      </c>
      <c r="E46" s="7" t="s">
        <v>34</v>
      </c>
      <c r="F46" s="7" t="str">
        <f t="shared" si="3"/>
        <v>MER</v>
      </c>
      <c r="G46" s="7" t="str">
        <f t="shared" si="4"/>
        <v>UZ</v>
      </c>
      <c r="H46" s="12" t="str">
        <f t="shared" si="5"/>
        <v>Beeline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7" t="s">
        <v>126</v>
      </c>
      <c r="B47" s="11">
        <v>128</v>
      </c>
      <c r="C47" s="9">
        <v>65500</v>
      </c>
      <c r="D47" s="7" t="s">
        <v>127</v>
      </c>
      <c r="E47" s="7" t="s">
        <v>40</v>
      </c>
      <c r="F47" s="7" t="str">
        <f t="shared" si="3"/>
        <v>NIS</v>
      </c>
      <c r="G47" s="7" t="str">
        <f t="shared" si="4"/>
        <v>KZ</v>
      </c>
      <c r="H47" s="12" t="str">
        <f t="shared" si="5"/>
        <v>Beeline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7" t="s">
        <v>128</v>
      </c>
      <c r="B48" s="11">
        <v>44</v>
      </c>
      <c r="C48" s="9">
        <v>71100</v>
      </c>
      <c r="D48" s="7" t="s">
        <v>129</v>
      </c>
      <c r="E48" s="7" t="s">
        <v>43</v>
      </c>
      <c r="F48" s="7" t="str">
        <f t="shared" si="3"/>
        <v>TOY</v>
      </c>
      <c r="G48" s="7" t="str">
        <f t="shared" si="4"/>
        <v>KG</v>
      </c>
      <c r="H48" s="12" t="str">
        <f t="shared" si="5"/>
        <v>Ucell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7" t="s">
        <v>130</v>
      </c>
      <c r="B49" s="11">
        <v>89</v>
      </c>
      <c r="C49" s="9">
        <v>118200</v>
      </c>
      <c r="D49" s="7" t="s">
        <v>131</v>
      </c>
      <c r="E49" s="7" t="s">
        <v>34</v>
      </c>
      <c r="F49" s="7" t="str">
        <f t="shared" si="3"/>
        <v>NIS</v>
      </c>
      <c r="G49" s="7" t="str">
        <f t="shared" si="4"/>
        <v>UK</v>
      </c>
      <c r="H49" s="12" t="str">
        <f t="shared" si="5"/>
        <v>Uzmobile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7" t="s">
        <v>132</v>
      </c>
      <c r="B50" s="11">
        <v>150</v>
      </c>
      <c r="C50" s="9">
        <v>86800</v>
      </c>
      <c r="D50" s="7" t="s">
        <v>133</v>
      </c>
      <c r="E50" s="7" t="s">
        <v>37</v>
      </c>
      <c r="F50" s="7" t="str">
        <f t="shared" si="3"/>
        <v>AUD</v>
      </c>
      <c r="G50" s="7" t="str">
        <f t="shared" si="4"/>
        <v>TJ</v>
      </c>
      <c r="H50" s="12" t="str">
        <f t="shared" si="5"/>
        <v>Beeline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7" t="s">
        <v>134</v>
      </c>
      <c r="B51" s="11">
        <v>17</v>
      </c>
      <c r="C51" s="9">
        <v>51400</v>
      </c>
      <c r="D51" s="7" t="s">
        <v>135</v>
      </c>
      <c r="E51" s="7" t="s">
        <v>40</v>
      </c>
      <c r="F51" s="7" t="str">
        <f t="shared" si="3"/>
        <v>NIS</v>
      </c>
      <c r="G51" s="7" t="str">
        <f t="shared" si="4"/>
        <v>TJ</v>
      </c>
      <c r="H51" s="12" t="str">
        <f t="shared" si="5"/>
        <v>Uzmobile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7" t="s">
        <v>136</v>
      </c>
      <c r="B52" s="11">
        <v>68</v>
      </c>
      <c r="C52" s="9">
        <v>105100</v>
      </c>
      <c r="D52" s="7" t="s">
        <v>137</v>
      </c>
      <c r="E52" s="7" t="s">
        <v>43</v>
      </c>
      <c r="F52" s="7" t="str">
        <f t="shared" si="3"/>
        <v>BMW</v>
      </c>
      <c r="G52" s="7" t="str">
        <f t="shared" si="4"/>
        <v>KZ</v>
      </c>
      <c r="H52" s="12" t="str">
        <f t="shared" si="5"/>
        <v>Perfectum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7" t="s">
        <v>138</v>
      </c>
      <c r="B53" s="11">
        <v>122</v>
      </c>
      <c r="C53" s="9">
        <v>108600</v>
      </c>
      <c r="D53" s="7" t="s">
        <v>139</v>
      </c>
      <c r="E53" s="7" t="s">
        <v>34</v>
      </c>
      <c r="F53" s="7" t="str">
        <f t="shared" si="3"/>
        <v>TOY</v>
      </c>
      <c r="G53" s="7" t="str">
        <f t="shared" si="4"/>
        <v>KG</v>
      </c>
      <c r="H53" s="12" t="str">
        <f t="shared" si="5"/>
        <v>Beeline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7" t="s">
        <v>140</v>
      </c>
      <c r="B54" s="11">
        <v>37</v>
      </c>
      <c r="C54" s="9">
        <v>90000</v>
      </c>
      <c r="D54" s="7" t="s">
        <v>141</v>
      </c>
      <c r="E54" s="7" t="s">
        <v>43</v>
      </c>
      <c r="F54" s="7" t="str">
        <f t="shared" si="3"/>
        <v>MER</v>
      </c>
      <c r="G54" s="7" t="str">
        <f t="shared" si="4"/>
        <v>TJ</v>
      </c>
      <c r="H54" s="12" t="str">
        <f t="shared" si="5"/>
        <v>Uzmobile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7" t="s">
        <v>142</v>
      </c>
      <c r="B55" s="11">
        <v>55</v>
      </c>
      <c r="C55" s="9">
        <v>67900</v>
      </c>
      <c r="D55" s="7" t="s">
        <v>143</v>
      </c>
      <c r="E55" s="7" t="s">
        <v>43</v>
      </c>
      <c r="F55" s="7" t="str">
        <f t="shared" si="3"/>
        <v>CHE</v>
      </c>
      <c r="G55" s="7" t="str">
        <f t="shared" si="4"/>
        <v>UZ</v>
      </c>
      <c r="H55" s="12" t="str">
        <f t="shared" si="5"/>
        <v>Ucell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7" t="s">
        <v>144</v>
      </c>
      <c r="B56" s="11">
        <v>71</v>
      </c>
      <c r="C56" s="9">
        <v>70900</v>
      </c>
      <c r="D56" s="7" t="s">
        <v>145</v>
      </c>
      <c r="E56" s="7" t="s">
        <v>34</v>
      </c>
      <c r="F56" s="7" t="str">
        <f t="shared" si="3"/>
        <v>NIS</v>
      </c>
      <c r="G56" s="7" t="str">
        <f t="shared" si="4"/>
        <v>KG</v>
      </c>
      <c r="H56" s="12" t="str">
        <f t="shared" si="5"/>
        <v>Ucell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7" t="s">
        <v>146</v>
      </c>
      <c r="B57" s="11">
        <v>52</v>
      </c>
      <c r="C57" s="9">
        <v>93200</v>
      </c>
      <c r="D57" s="7" t="s">
        <v>147</v>
      </c>
      <c r="E57" s="7" t="s">
        <v>37</v>
      </c>
      <c r="F57" s="7" t="str">
        <f t="shared" si="3"/>
        <v>NIS</v>
      </c>
      <c r="G57" s="7" t="str">
        <f t="shared" si="4"/>
        <v>UK</v>
      </c>
      <c r="H57" s="12" t="str">
        <f t="shared" si="5"/>
        <v>Uzmobile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7" t="s">
        <v>148</v>
      </c>
      <c r="B58" s="11">
        <v>45</v>
      </c>
      <c r="C58" s="9">
        <v>85200</v>
      </c>
      <c r="D58" s="7" t="s">
        <v>149</v>
      </c>
      <c r="E58" s="7" t="s">
        <v>40</v>
      </c>
      <c r="F58" s="7" t="str">
        <f t="shared" si="3"/>
        <v>NIS</v>
      </c>
      <c r="G58" s="7" t="str">
        <f t="shared" si="4"/>
        <v>UK</v>
      </c>
      <c r="H58" s="12" t="str">
        <f t="shared" si="5"/>
        <v>Ucell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7" t="s">
        <v>150</v>
      </c>
      <c r="B59" s="11">
        <v>91</v>
      </c>
      <c r="C59" s="9">
        <v>74800</v>
      </c>
      <c r="D59" s="7" t="s">
        <v>151</v>
      </c>
      <c r="E59" s="7" t="s">
        <v>43</v>
      </c>
      <c r="F59" s="7" t="str">
        <f t="shared" si="3"/>
        <v>AUD</v>
      </c>
      <c r="G59" s="7" t="str">
        <f t="shared" si="4"/>
        <v>KG</v>
      </c>
      <c r="H59" s="12" t="str">
        <f t="shared" si="5"/>
        <v>Ucell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7" t="s">
        <v>152</v>
      </c>
      <c r="B60" s="11">
        <v>97</v>
      </c>
      <c r="C60" s="9">
        <v>64300</v>
      </c>
      <c r="D60" s="7" t="s">
        <v>153</v>
      </c>
      <c r="E60" s="7" t="s">
        <v>43</v>
      </c>
      <c r="F60" s="7" t="str">
        <f t="shared" si="3"/>
        <v>KIA</v>
      </c>
      <c r="G60" s="7" t="str">
        <f t="shared" si="4"/>
        <v>UK</v>
      </c>
      <c r="H60" s="12" t="str">
        <f t="shared" si="5"/>
        <v>Beeline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7" t="s">
        <v>154</v>
      </c>
      <c r="B61" s="11">
        <v>122</v>
      </c>
      <c r="C61" s="9">
        <v>73900</v>
      </c>
      <c r="D61" s="7" t="s">
        <v>155</v>
      </c>
      <c r="E61" s="7" t="s">
        <v>34</v>
      </c>
      <c r="F61" s="7" t="str">
        <f t="shared" si="3"/>
        <v>AUD</v>
      </c>
      <c r="G61" s="7" t="str">
        <f t="shared" si="4"/>
        <v>UZ</v>
      </c>
      <c r="H61" s="12" t="str">
        <f t="shared" si="5"/>
        <v>Uzmobile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7" t="s">
        <v>156</v>
      </c>
      <c r="B62" s="11">
        <v>131</v>
      </c>
      <c r="C62" s="9">
        <v>87300</v>
      </c>
      <c r="D62" s="7" t="s">
        <v>157</v>
      </c>
      <c r="E62" s="7" t="s">
        <v>40</v>
      </c>
      <c r="F62" s="7" t="str">
        <f t="shared" si="3"/>
        <v>BMW</v>
      </c>
      <c r="G62" s="7" t="str">
        <f t="shared" si="4"/>
        <v>UK</v>
      </c>
      <c r="H62" s="12" t="str">
        <f t="shared" si="5"/>
        <v>Uzmobile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7" t="s">
        <v>158</v>
      </c>
      <c r="B63" s="11">
        <v>53</v>
      </c>
      <c r="C63" s="9">
        <v>82600</v>
      </c>
      <c r="D63" s="7" t="s">
        <v>159</v>
      </c>
      <c r="E63" s="7" t="s">
        <v>43</v>
      </c>
      <c r="F63" s="7" t="str">
        <f t="shared" si="3"/>
        <v>HYU</v>
      </c>
      <c r="G63" s="7" t="str">
        <f t="shared" si="4"/>
        <v>KZ</v>
      </c>
      <c r="H63" s="12" t="str">
        <f t="shared" si="5"/>
        <v>Uzmobile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7" t="s">
        <v>160</v>
      </c>
      <c r="B64" s="11">
        <v>12</v>
      </c>
      <c r="C64" s="9">
        <v>80900</v>
      </c>
      <c r="D64" s="7" t="s">
        <v>161</v>
      </c>
      <c r="E64" s="7" t="s">
        <v>34</v>
      </c>
      <c r="F64" s="7" t="str">
        <f t="shared" si="3"/>
        <v>TOY</v>
      </c>
      <c r="G64" s="7" t="str">
        <f t="shared" si="4"/>
        <v>TJ</v>
      </c>
      <c r="H64" s="12" t="str">
        <f t="shared" si="5"/>
        <v>Uzmobile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7" t="s">
        <v>162</v>
      </c>
      <c r="B65" s="11">
        <v>97</v>
      </c>
      <c r="C65" s="9">
        <v>107700</v>
      </c>
      <c r="D65" s="7" t="s">
        <v>163</v>
      </c>
      <c r="E65" s="7" t="s">
        <v>37</v>
      </c>
      <c r="F65" s="7" t="str">
        <f t="shared" si="3"/>
        <v>HYU</v>
      </c>
      <c r="G65" s="7" t="str">
        <f t="shared" si="4"/>
        <v>UZ</v>
      </c>
      <c r="H65" s="12" t="str">
        <f t="shared" si="5"/>
        <v>Uzmobile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7" t="s">
        <v>164</v>
      </c>
      <c r="B66" s="11">
        <v>49</v>
      </c>
      <c r="C66" s="9">
        <v>92900</v>
      </c>
      <c r="D66" s="7" t="s">
        <v>165</v>
      </c>
      <c r="E66" s="7" t="s">
        <v>40</v>
      </c>
      <c r="F66" s="7" t="str">
        <f t="shared" si="3"/>
        <v>HYU</v>
      </c>
      <c r="G66" s="7" t="str">
        <f t="shared" si="4"/>
        <v>TJ</v>
      </c>
      <c r="H66" s="12" t="str">
        <f t="shared" si="5"/>
        <v>Uzmobile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7" t="s">
        <v>166</v>
      </c>
      <c r="B67" s="11">
        <v>1</v>
      </c>
      <c r="C67" s="9">
        <v>93400</v>
      </c>
      <c r="D67" s="7" t="s">
        <v>167</v>
      </c>
      <c r="E67" s="7" t="s">
        <v>43</v>
      </c>
      <c r="F67" s="7" t="str">
        <f t="shared" si="3"/>
        <v>BMW</v>
      </c>
      <c r="G67" s="7" t="str">
        <f t="shared" si="4"/>
        <v>UZ</v>
      </c>
      <c r="H67" s="12" t="str">
        <f t="shared" si="5"/>
        <v>Ucell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7" t="s">
        <v>168</v>
      </c>
      <c r="B68" s="11">
        <v>126</v>
      </c>
      <c r="C68" s="9">
        <v>119600</v>
      </c>
      <c r="D68" s="7" t="s">
        <v>169</v>
      </c>
      <c r="E68" s="7" t="s">
        <v>34</v>
      </c>
      <c r="F68" s="7" t="str">
        <f t="shared" si="3"/>
        <v>MER</v>
      </c>
      <c r="G68" s="7" t="str">
        <f t="shared" si="4"/>
        <v>TJ</v>
      </c>
      <c r="H68" s="12" t="str">
        <f t="shared" si="5"/>
        <v>Beeline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7" t="s">
        <v>170</v>
      </c>
      <c r="B69" s="11">
        <v>148</v>
      </c>
      <c r="C69" s="9">
        <v>57800</v>
      </c>
      <c r="D69" s="7" t="s">
        <v>171</v>
      </c>
      <c r="E69" s="7" t="s">
        <v>43</v>
      </c>
      <c r="F69" s="7" t="str">
        <f t="shared" si="3"/>
        <v>KIA</v>
      </c>
      <c r="G69" s="7" t="str">
        <f t="shared" si="4"/>
        <v>KZ</v>
      </c>
      <c r="H69" s="12" t="str">
        <f t="shared" si="5"/>
        <v>Uzmobile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7" t="s">
        <v>172</v>
      </c>
      <c r="B70" s="11">
        <v>116</v>
      </c>
      <c r="C70" s="9">
        <v>108100</v>
      </c>
      <c r="D70" s="7" t="s">
        <v>173</v>
      </c>
      <c r="E70" s="7" t="s">
        <v>43</v>
      </c>
      <c r="F70" s="7" t="str">
        <f t="shared" si="3"/>
        <v>KIA</v>
      </c>
      <c r="G70" s="7" t="str">
        <f t="shared" si="4"/>
        <v>KZ</v>
      </c>
      <c r="H70" s="12" t="str">
        <f t="shared" si="5"/>
        <v>Ucell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7" t="s">
        <v>174</v>
      </c>
      <c r="B71" s="11">
        <v>126</v>
      </c>
      <c r="C71" s="9">
        <v>85800</v>
      </c>
      <c r="D71" s="7" t="s">
        <v>175</v>
      </c>
      <c r="E71" s="7" t="s">
        <v>34</v>
      </c>
      <c r="F71" s="7" t="str">
        <f t="shared" si="3"/>
        <v>AUD</v>
      </c>
      <c r="G71" s="7" t="str">
        <f t="shared" si="4"/>
        <v>KG</v>
      </c>
      <c r="H71" s="12" t="str">
        <f t="shared" si="5"/>
        <v>Perfectum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7" t="s">
        <v>176</v>
      </c>
      <c r="B72" s="11">
        <v>5</v>
      </c>
      <c r="C72" s="9">
        <v>93000</v>
      </c>
      <c r="D72" s="7" t="s">
        <v>177</v>
      </c>
      <c r="E72" s="7" t="s">
        <v>43</v>
      </c>
      <c r="F72" s="7" t="str">
        <f t="shared" si="3"/>
        <v>CHE</v>
      </c>
      <c r="G72" s="7" t="str">
        <f t="shared" si="4"/>
        <v>UK</v>
      </c>
      <c r="H72" s="12" t="str">
        <f t="shared" si="5"/>
        <v>Perfectum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7" t="s">
        <v>178</v>
      </c>
      <c r="B73" s="11">
        <v>133</v>
      </c>
      <c r="C73" s="9">
        <v>84600</v>
      </c>
      <c r="D73" s="7" t="s">
        <v>179</v>
      </c>
      <c r="E73" s="7" t="s">
        <v>43</v>
      </c>
      <c r="F73" s="7" t="str">
        <f t="shared" si="3"/>
        <v>NIS</v>
      </c>
      <c r="G73" s="7" t="str">
        <f t="shared" si="4"/>
        <v>KZ</v>
      </c>
      <c r="H73" s="12" t="str">
        <f t="shared" si="5"/>
        <v>Ucell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7" t="s">
        <v>180</v>
      </c>
      <c r="B74" s="11">
        <v>141</v>
      </c>
      <c r="C74" s="9">
        <v>51200</v>
      </c>
      <c r="D74" s="7" t="s">
        <v>181</v>
      </c>
      <c r="E74" s="7" t="s">
        <v>34</v>
      </c>
      <c r="F74" s="7" t="str">
        <f t="shared" ref="F74:F99" si="6">LEFT(A74,3)</f>
        <v>BMW</v>
      </c>
      <c r="G74" s="7" t="str">
        <f t="shared" ref="G74:G99" si="7">RIGHT(A74,2)</f>
        <v>TJ</v>
      </c>
      <c r="H74" s="12" t="str">
        <f t="shared" ref="H74:H99" si="8">IF(OR(MID(D74,5,2)="90",MID(D74,5,2)="91"),"Beeline",IF(OR(MID(D74,5,2)="93",MID(D74,5,2)="94"),"Ucell",IF(OR(MID(D74,5,2)="95",MID(D74,5,2)="99"),"Uzmobile",IF(MID(D74,5,2)="97","Mobiuz",IF(MID(D74,5,2)="98","Perfectum",IF(MID(D74,5,2)="88","Humans","Unknown"))))))</f>
        <v>Beeline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7" t="s">
        <v>182</v>
      </c>
      <c r="B75" s="11">
        <v>53</v>
      </c>
      <c r="C75" s="9">
        <v>87300</v>
      </c>
      <c r="D75" s="7" t="s">
        <v>183</v>
      </c>
      <c r="E75" s="7" t="s">
        <v>37</v>
      </c>
      <c r="F75" s="7" t="str">
        <f t="shared" si="6"/>
        <v>NIS</v>
      </c>
      <c r="G75" s="7" t="str">
        <f t="shared" si="7"/>
        <v>KZ</v>
      </c>
      <c r="H75" s="12" t="str">
        <f t="shared" si="8"/>
        <v>Uzmobile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7" t="s">
        <v>184</v>
      </c>
      <c r="B76" s="11">
        <v>21</v>
      </c>
      <c r="C76" s="9">
        <v>66100</v>
      </c>
      <c r="D76" s="7" t="s">
        <v>185</v>
      </c>
      <c r="E76" s="7" t="s">
        <v>40</v>
      </c>
      <c r="F76" s="7" t="str">
        <f t="shared" si="6"/>
        <v>AUD</v>
      </c>
      <c r="G76" s="7" t="str">
        <f t="shared" si="7"/>
        <v>UK</v>
      </c>
      <c r="H76" s="12" t="str">
        <f t="shared" si="8"/>
        <v>Uzmobile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7" t="s">
        <v>186</v>
      </c>
      <c r="B77" s="11">
        <v>60</v>
      </c>
      <c r="C77" s="9">
        <v>114000</v>
      </c>
      <c r="D77" s="7" t="s">
        <v>187</v>
      </c>
      <c r="E77" s="7" t="s">
        <v>43</v>
      </c>
      <c r="F77" s="7" t="str">
        <f t="shared" si="6"/>
        <v>AUD</v>
      </c>
      <c r="G77" s="7" t="str">
        <f t="shared" si="7"/>
        <v>KG</v>
      </c>
      <c r="H77" s="12" t="str">
        <f t="shared" si="8"/>
        <v>Ucell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7" t="s">
        <v>188</v>
      </c>
      <c r="B78" s="11">
        <v>19</v>
      </c>
      <c r="C78" s="9">
        <v>119700</v>
      </c>
      <c r="D78" s="7" t="s">
        <v>189</v>
      </c>
      <c r="E78" s="7" t="s">
        <v>43</v>
      </c>
      <c r="F78" s="7" t="str">
        <f t="shared" si="6"/>
        <v>KIA</v>
      </c>
      <c r="G78" s="7" t="str">
        <f t="shared" si="7"/>
        <v>KZ</v>
      </c>
      <c r="H78" s="12" t="str">
        <f t="shared" si="8"/>
        <v>Ucell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7" t="s">
        <v>190</v>
      </c>
      <c r="B79" s="11">
        <v>32</v>
      </c>
      <c r="C79" s="9">
        <v>61200</v>
      </c>
      <c r="D79" s="7" t="s">
        <v>191</v>
      </c>
      <c r="E79" s="7" t="s">
        <v>34</v>
      </c>
      <c r="F79" s="7" t="str">
        <f t="shared" si="6"/>
        <v>KIA</v>
      </c>
      <c r="G79" s="7" t="str">
        <f t="shared" si="7"/>
        <v>UK</v>
      </c>
      <c r="H79" s="12" t="str">
        <f t="shared" si="8"/>
        <v>Perfectum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7" t="s">
        <v>192</v>
      </c>
      <c r="B80" s="11">
        <v>98</v>
      </c>
      <c r="C80" s="9">
        <v>98300</v>
      </c>
      <c r="D80" s="7" t="s">
        <v>193</v>
      </c>
      <c r="E80" s="7" t="s">
        <v>40</v>
      </c>
      <c r="F80" s="7" t="str">
        <f t="shared" si="6"/>
        <v>TOY</v>
      </c>
      <c r="G80" s="7" t="str">
        <f t="shared" si="7"/>
        <v>UZ</v>
      </c>
      <c r="H80" s="12" t="str">
        <f t="shared" si="8"/>
        <v>Uzmobile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7" t="s">
        <v>194</v>
      </c>
      <c r="B81" s="11">
        <v>25</v>
      </c>
      <c r="C81" s="9">
        <v>115500</v>
      </c>
      <c r="D81" s="7" t="s">
        <v>195</v>
      </c>
      <c r="E81" s="7" t="s">
        <v>43</v>
      </c>
      <c r="F81" s="7" t="str">
        <f t="shared" si="6"/>
        <v>TOY</v>
      </c>
      <c r="G81" s="7" t="str">
        <f t="shared" si="7"/>
        <v>UK</v>
      </c>
      <c r="H81" s="12" t="str">
        <f t="shared" si="8"/>
        <v>Uzmobile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7" t="s">
        <v>196</v>
      </c>
      <c r="B82" s="11">
        <v>13</v>
      </c>
      <c r="C82" s="9">
        <v>118300</v>
      </c>
      <c r="D82" s="7" t="s">
        <v>197</v>
      </c>
      <c r="E82" s="7" t="s">
        <v>34</v>
      </c>
      <c r="F82" s="7" t="str">
        <f t="shared" si="6"/>
        <v>CHE</v>
      </c>
      <c r="G82" s="7" t="str">
        <f t="shared" si="7"/>
        <v>UZ</v>
      </c>
      <c r="H82" s="12" t="str">
        <f t="shared" si="8"/>
        <v>Beeline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7" t="s">
        <v>198</v>
      </c>
      <c r="B83" s="11">
        <v>132</v>
      </c>
      <c r="C83" s="9">
        <v>62400</v>
      </c>
      <c r="D83" s="7" t="s">
        <v>199</v>
      </c>
      <c r="E83" s="7" t="s">
        <v>37</v>
      </c>
      <c r="F83" s="7" t="str">
        <f t="shared" si="6"/>
        <v>CHE</v>
      </c>
      <c r="G83" s="7" t="str">
        <f t="shared" si="7"/>
        <v>UK</v>
      </c>
      <c r="H83" s="12" t="str">
        <f t="shared" si="8"/>
        <v>Perfectum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7" t="s">
        <v>200</v>
      </c>
      <c r="B84" s="11">
        <v>134</v>
      </c>
      <c r="C84" s="9">
        <v>111500</v>
      </c>
      <c r="D84" s="7" t="s">
        <v>201</v>
      </c>
      <c r="E84" s="7" t="s">
        <v>40</v>
      </c>
      <c r="F84" s="7" t="str">
        <f t="shared" si="6"/>
        <v>BMW</v>
      </c>
      <c r="G84" s="7" t="str">
        <f t="shared" si="7"/>
        <v>TJ</v>
      </c>
      <c r="H84" s="12" t="str">
        <f t="shared" si="8"/>
        <v>Uzmobile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7" t="s">
        <v>202</v>
      </c>
      <c r="B85" s="11">
        <v>144</v>
      </c>
      <c r="C85" s="9">
        <v>62100</v>
      </c>
      <c r="D85" s="7" t="s">
        <v>203</v>
      </c>
      <c r="E85" s="7" t="s">
        <v>43</v>
      </c>
      <c r="F85" s="7" t="str">
        <f t="shared" si="6"/>
        <v>MER</v>
      </c>
      <c r="G85" s="7" t="str">
        <f t="shared" si="7"/>
        <v>UZ</v>
      </c>
      <c r="H85" s="12" t="str">
        <f t="shared" si="8"/>
        <v>Uzmobile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7" t="s">
        <v>204</v>
      </c>
      <c r="B86" s="11">
        <v>140</v>
      </c>
      <c r="C86" s="9">
        <v>81700</v>
      </c>
      <c r="D86" s="7" t="s">
        <v>205</v>
      </c>
      <c r="E86" s="7" t="s">
        <v>34</v>
      </c>
      <c r="F86" s="7" t="str">
        <f t="shared" si="6"/>
        <v>NIS</v>
      </c>
      <c r="G86" s="7" t="str">
        <f t="shared" si="7"/>
        <v>KG</v>
      </c>
      <c r="H86" s="12" t="str">
        <f t="shared" si="8"/>
        <v>Perfectum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7" t="s">
        <v>206</v>
      </c>
      <c r="B87" s="11">
        <v>26</v>
      </c>
      <c r="C87" s="9">
        <v>53800</v>
      </c>
      <c r="D87" s="7" t="s">
        <v>207</v>
      </c>
      <c r="E87" s="7" t="s">
        <v>37</v>
      </c>
      <c r="F87" s="7" t="str">
        <f t="shared" si="6"/>
        <v>NIS</v>
      </c>
      <c r="G87" s="7" t="str">
        <f t="shared" si="7"/>
        <v>TJ</v>
      </c>
      <c r="H87" s="12" t="str">
        <f t="shared" si="8"/>
        <v>Ucell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7" t="s">
        <v>208</v>
      </c>
      <c r="B88" s="11">
        <v>68</v>
      </c>
      <c r="C88" s="9">
        <v>106400</v>
      </c>
      <c r="D88" s="7" t="s">
        <v>209</v>
      </c>
      <c r="E88" s="7" t="s">
        <v>40</v>
      </c>
      <c r="F88" s="7" t="str">
        <f t="shared" si="6"/>
        <v>CHE</v>
      </c>
      <c r="G88" s="7" t="str">
        <f t="shared" si="7"/>
        <v>TJ</v>
      </c>
      <c r="H88" s="12" t="str">
        <f t="shared" si="8"/>
        <v>Beeline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7" t="s">
        <v>210</v>
      </c>
      <c r="B89" s="11">
        <v>101</v>
      </c>
      <c r="C89" s="9">
        <v>67700</v>
      </c>
      <c r="D89" s="7" t="s">
        <v>211</v>
      </c>
      <c r="E89" s="7" t="s">
        <v>43</v>
      </c>
      <c r="F89" s="7" t="str">
        <f t="shared" si="6"/>
        <v>TOY</v>
      </c>
      <c r="G89" s="7" t="str">
        <f t="shared" si="7"/>
        <v>UK</v>
      </c>
      <c r="H89" s="12" t="str">
        <f t="shared" si="8"/>
        <v>Beeline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7" t="s">
        <v>212</v>
      </c>
      <c r="B90" s="11">
        <v>69</v>
      </c>
      <c r="C90" s="9">
        <v>51000</v>
      </c>
      <c r="D90" s="7" t="s">
        <v>213</v>
      </c>
      <c r="E90" s="7" t="s">
        <v>43</v>
      </c>
      <c r="F90" s="7" t="str">
        <f t="shared" si="6"/>
        <v>HYU</v>
      </c>
      <c r="G90" s="7" t="str">
        <f t="shared" si="7"/>
        <v>UZ</v>
      </c>
      <c r="H90" s="12" t="str">
        <f t="shared" si="8"/>
        <v>Ucell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7" t="s">
        <v>214</v>
      </c>
      <c r="B91" s="11">
        <v>131</v>
      </c>
      <c r="C91" s="9">
        <v>74700</v>
      </c>
      <c r="D91" s="7" t="s">
        <v>215</v>
      </c>
      <c r="E91" s="7" t="s">
        <v>34</v>
      </c>
      <c r="F91" s="7" t="str">
        <f t="shared" si="6"/>
        <v>KIA</v>
      </c>
      <c r="G91" s="7" t="str">
        <f t="shared" si="7"/>
        <v>UK</v>
      </c>
      <c r="H91" s="12" t="str">
        <f t="shared" si="8"/>
        <v>Perfectum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7" t="s">
        <v>216</v>
      </c>
      <c r="B92" s="11">
        <v>57</v>
      </c>
      <c r="C92" s="9">
        <v>82100</v>
      </c>
      <c r="D92" s="7" t="s">
        <v>217</v>
      </c>
      <c r="E92" s="7" t="s">
        <v>40</v>
      </c>
      <c r="F92" s="7" t="str">
        <f t="shared" si="6"/>
        <v>AUD</v>
      </c>
      <c r="G92" s="7" t="str">
        <f t="shared" si="7"/>
        <v>KG</v>
      </c>
      <c r="H92" s="12" t="str">
        <f t="shared" si="8"/>
        <v>Perfectum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7" t="s">
        <v>218</v>
      </c>
      <c r="B93" s="11">
        <v>149</v>
      </c>
      <c r="C93" s="9">
        <v>98600</v>
      </c>
      <c r="D93" s="7" t="s">
        <v>219</v>
      </c>
      <c r="E93" s="7" t="s">
        <v>43</v>
      </c>
      <c r="F93" s="7" t="str">
        <f t="shared" si="6"/>
        <v>KIA</v>
      </c>
      <c r="G93" s="7" t="str">
        <f t="shared" si="7"/>
        <v>TJ</v>
      </c>
      <c r="H93" s="12" t="str">
        <f t="shared" si="8"/>
        <v>Perfectum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7" t="s">
        <v>220</v>
      </c>
      <c r="B94" s="11">
        <v>11</v>
      </c>
      <c r="C94" s="9">
        <v>86100</v>
      </c>
      <c r="D94" s="7" t="s">
        <v>221</v>
      </c>
      <c r="E94" s="7" t="s">
        <v>43</v>
      </c>
      <c r="F94" s="7" t="str">
        <f t="shared" si="6"/>
        <v>AUD</v>
      </c>
      <c r="G94" s="7" t="str">
        <f t="shared" si="7"/>
        <v>TJ</v>
      </c>
      <c r="H94" s="12" t="str">
        <f t="shared" si="8"/>
        <v>Ucell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7" t="s">
        <v>222</v>
      </c>
      <c r="B95" s="11">
        <v>19</v>
      </c>
      <c r="C95" s="9">
        <v>53200</v>
      </c>
      <c r="D95" s="7" t="s">
        <v>223</v>
      </c>
      <c r="E95" s="7" t="s">
        <v>34</v>
      </c>
      <c r="F95" s="7" t="str">
        <f t="shared" si="6"/>
        <v>HYU</v>
      </c>
      <c r="G95" s="7" t="str">
        <f t="shared" si="7"/>
        <v>TJ</v>
      </c>
      <c r="H95" s="12" t="str">
        <f t="shared" si="8"/>
        <v>Beeline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7" t="s">
        <v>224</v>
      </c>
      <c r="B96" s="11">
        <v>90</v>
      </c>
      <c r="C96" s="9">
        <v>84800</v>
      </c>
      <c r="D96" s="7" t="s">
        <v>225</v>
      </c>
      <c r="E96" s="7" t="s">
        <v>40</v>
      </c>
      <c r="F96" s="7" t="str">
        <f t="shared" si="6"/>
        <v>HYU</v>
      </c>
      <c r="G96" s="7" t="str">
        <f t="shared" si="7"/>
        <v>UK</v>
      </c>
      <c r="H96" s="12" t="str">
        <f t="shared" si="8"/>
        <v>Perfectum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7" t="s">
        <v>226</v>
      </c>
      <c r="B97" s="11">
        <v>45</v>
      </c>
      <c r="C97" s="9">
        <v>103100</v>
      </c>
      <c r="D97" s="7" t="s">
        <v>227</v>
      </c>
      <c r="E97" s="7" t="s">
        <v>43</v>
      </c>
      <c r="F97" s="7" t="str">
        <f t="shared" si="6"/>
        <v>KIA</v>
      </c>
      <c r="G97" s="7" t="str">
        <f t="shared" si="7"/>
        <v>KZ</v>
      </c>
      <c r="H97" s="12" t="str">
        <f t="shared" si="8"/>
        <v>Uzmobile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7" t="s">
        <v>228</v>
      </c>
      <c r="B98" s="11">
        <v>27</v>
      </c>
      <c r="C98" s="9">
        <v>93500</v>
      </c>
      <c r="D98" s="7" t="s">
        <v>229</v>
      </c>
      <c r="E98" s="7" t="s">
        <v>40</v>
      </c>
      <c r="F98" s="7" t="str">
        <f t="shared" si="6"/>
        <v>BMW</v>
      </c>
      <c r="G98" s="7" t="str">
        <f t="shared" si="7"/>
        <v>UZ</v>
      </c>
      <c r="H98" s="12" t="str">
        <f t="shared" si="8"/>
        <v>Perfectum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7" t="s">
        <v>230</v>
      </c>
      <c r="B99" s="11">
        <v>25</v>
      </c>
      <c r="C99" s="9">
        <v>71800</v>
      </c>
      <c r="D99" s="7" t="s">
        <v>231</v>
      </c>
      <c r="E99" s="7" t="s">
        <v>43</v>
      </c>
      <c r="F99" s="7" t="str">
        <f t="shared" si="6"/>
        <v>AUD</v>
      </c>
      <c r="G99" s="7" t="str">
        <f t="shared" si="7"/>
        <v>KZ</v>
      </c>
      <c r="H99" s="12" t="str">
        <f t="shared" si="8"/>
        <v>Uzmobile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7" t="s">
        <v>232</v>
      </c>
      <c r="B100" s="11">
        <v>146</v>
      </c>
      <c r="C100" s="9">
        <v>117900</v>
      </c>
      <c r="D100" s="7" t="s">
        <v>233</v>
      </c>
      <c r="E100" s="7" t="s">
        <v>43</v>
      </c>
      <c r="F100" s="7" t="str">
        <f t="shared" ref="F100:F101" si="9">LEFT(A100,3)</f>
        <v>AUD</v>
      </c>
      <c r="G100" s="7" t="str">
        <f t="shared" ref="G100:G101" si="10">RIGHT(A100,2)</f>
        <v>KZ</v>
      </c>
      <c r="H100" s="12" t="str">
        <f t="shared" ref="H100:H101" si="11">IF(OR(MID(D100,5,2)="90",MID(D100,5,2)="91"),"Beeline",IF(OR(MID(D100,5,2)="93",MID(D100,5,2)="94"),"Ucell",IF(OR(MID(D100,5,2)="95",MID(D100,5,2)="99"),"Uzmobile",IF(MID(D100,5,2)="97","Mobiuz",IF(MID(D100,5,2)="98","Perfectum",IF(MID(D100,5,2)="88","Humans","Unknown"))))))</f>
        <v>Ucell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7" t="s">
        <v>234</v>
      </c>
      <c r="B101" s="11">
        <v>107</v>
      </c>
      <c r="C101" s="9">
        <v>82000</v>
      </c>
      <c r="D101" s="7" t="s">
        <v>235</v>
      </c>
      <c r="E101" s="7" t="s">
        <v>34</v>
      </c>
      <c r="F101" s="7" t="str">
        <f t="shared" si="9"/>
        <v>NIS</v>
      </c>
      <c r="G101" s="7" t="str">
        <f t="shared" si="10"/>
        <v>UK</v>
      </c>
      <c r="H101" s="12" t="str">
        <f t="shared" si="11"/>
        <v>Uzmobile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defaultRowHeight="14.25"/>
  <cols>
    <col bestFit="1" customWidth="1" min="1" max="1" style="2" width="77.19140625"/>
  </cols>
  <sheetData>
    <row r="1">
      <c r="A1" s="14" t="s">
        <v>236</v>
      </c>
    </row>
    <row r="2">
      <c r="A2" s="15" t="s">
        <v>237</v>
      </c>
    </row>
    <row r="3">
      <c r="A3" s="15" t="s">
        <v>238</v>
      </c>
    </row>
    <row r="4">
      <c r="A4" s="15" t="s">
        <v>239</v>
      </c>
    </row>
    <row r="5">
      <c r="A5" s="15" t="s">
        <v>240</v>
      </c>
    </row>
    <row r="6">
      <c r="A6" s="15" t="s">
        <v>241</v>
      </c>
    </row>
    <row r="7">
      <c r="A7" s="15" t="s">
        <v>242</v>
      </c>
    </row>
    <row r="8">
      <c r="A8" s="15" t="s">
        <v>243</v>
      </c>
    </row>
    <row r="9">
      <c r="A9" s="15" t="s">
        <v>244</v>
      </c>
    </row>
    <row r="10">
      <c r="A10" s="15" t="s">
        <v>245</v>
      </c>
      <c r="B10" s="16"/>
    </row>
    <row r="11">
      <c r="A11" s="15" t="s">
        <v>246</v>
      </c>
    </row>
    <row r="12">
      <c r="A12" s="15" t="s">
        <v>247</v>
      </c>
      <c r="B12" s="16"/>
    </row>
    <row r="13">
      <c r="A13" s="15" t="s">
        <v>248</v>
      </c>
    </row>
    <row r="14">
      <c r="A14" s="15" t="s">
        <v>249</v>
      </c>
    </row>
    <row r="15">
      <c r="A15" s="15" t="s">
        <v>250</v>
      </c>
    </row>
    <row r="16">
      <c r="A16" s="15" t="s">
        <v>251</v>
      </c>
    </row>
    <row r="17">
      <c r="A17" s="15" t="s">
        <v>252</v>
      </c>
    </row>
    <row r="18">
      <c r="A18" s="15" t="s">
        <v>253</v>
      </c>
    </row>
    <row r="19">
      <c r="A19" s="15" t="s">
        <v>254</v>
      </c>
    </row>
    <row r="20">
      <c r="A20" s="15" t="s">
        <v>255</v>
      </c>
    </row>
    <row r="21">
      <c r="A21" s="15" t="s">
        <v>256</v>
      </c>
    </row>
    <row r="22">
      <c r="A22" s="15" t="s">
        <v>257</v>
      </c>
    </row>
    <row r="23">
      <c r="A23" s="15" t="s">
        <v>258</v>
      </c>
    </row>
    <row r="24">
      <c r="A24" s="17" t="s">
        <v>259</v>
      </c>
    </row>
    <row r="25">
      <c r="A25" s="17" t="s">
        <v>260</v>
      </c>
    </row>
    <row r="26">
      <c r="A26" s="17" t="s">
        <v>261</v>
      </c>
    </row>
    <row r="27">
      <c r="A27" s="17" t="s">
        <v>262</v>
      </c>
    </row>
    <row r="28">
      <c r="A28" s="17" t="s">
        <v>263</v>
      </c>
    </row>
    <row r="29">
      <c r="A29" s="17" t="s">
        <v>264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2026-03-18T10:35:39Z</dcterms:created>
  <dcterms:modified xsi:type="dcterms:W3CDTF">2026-03-24T04:07:07Z</dcterms:modified>
</cp:coreProperties>
</file>