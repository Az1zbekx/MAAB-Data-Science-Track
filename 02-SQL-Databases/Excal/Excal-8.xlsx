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<sst xmlns="http://schemas.openxmlformats.org/spreadsheetml/2006/main" count="61" uniqueCount="61">
  <si>
    <t>Sotuv menejeri</t>
  </si>
  <si>
    <t>Maoshi</t>
  </si>
  <si>
    <t>Mijozlari soni</t>
  </si>
  <si>
    <t>Oylik savdosi</t>
  </si>
  <si>
    <t>Chegirma mijoz uchun</t>
  </si>
  <si>
    <t>AA</t>
  </si>
  <si>
    <t>BB</t>
  </si>
  <si>
    <t>CC</t>
  </si>
  <si>
    <t>DD</t>
  </si>
  <si>
    <t>EE</t>
  </si>
  <si>
    <t>FF</t>
  </si>
  <si>
    <t>GG</t>
  </si>
  <si>
    <t>HH</t>
  </si>
  <si>
    <t>II</t>
  </si>
  <si>
    <t>JJ</t>
  </si>
  <si>
    <t>Mahsulot</t>
  </si>
  <si>
    <t>Kirim</t>
  </si>
  <si>
    <t>Chiqim</t>
  </si>
  <si>
    <t>Qoldiq</t>
  </si>
  <si>
    <t>Min_qoldiq</t>
  </si>
  <si>
    <t>Narx</t>
  </si>
  <si>
    <t>Shakar</t>
  </si>
  <si>
    <t>Un</t>
  </si>
  <si>
    <t>Yog'</t>
  </si>
  <si>
    <t>Guruch</t>
  </si>
  <si>
    <t>Choy</t>
  </si>
  <si>
    <t>Tuz</t>
  </si>
  <si>
    <t>Makaron</t>
  </si>
  <si>
    <t>Sut</t>
  </si>
  <si>
    <t>Pechenye</t>
  </si>
  <si>
    <t>Konfet</t>
  </si>
  <si>
    <t>1. Agar qoldiq minimaldan kam bo‘lsa “Buyurtma kerak”, aks holda “Yetarli”.</t>
  </si>
  <si>
    <t>2. Agar qoldiq 50 dan katta bo‘lsa “Ko‘p”, aks holda “Kam”.</t>
  </si>
  <si>
    <t>3. Agar narx 10000 dan katta bo‘lsa “Qimmat”, aks holda “Arzon”.</t>
  </si>
  <si>
    <t>4. Agar chiqim 100 dan katta bo‘lsa “Tez sotilyapti”, aks holda “Sekin”.</t>
  </si>
  <si>
    <t>5. Agar kirim 100 dan katta bo‘lsa “Ko‘p kirim”, aks holda “Kam kirim”.</t>
  </si>
  <si>
    <t>6. Agar qoldiq 20 dan kam bo‘lsa “Tugayapti”, aks holda “OK”.</t>
  </si>
  <si>
    <t>7. Agar narx 15000 dan katta bo‘lsa “Premium”, aks holda “Oddiy”.</t>
  </si>
  <si>
    <t>8. Agar chiqim 50 dan katta bo‘lsa “Yaxshi sotuv”, aks holda “Past”.</t>
  </si>
  <si>
    <t>9. Agar qoldiq 70 dan katta bo‘lsa “Zaxira bor”, aks holda “Kam”.</t>
  </si>
  <si>
    <t>10. Agar kirim 150 dan katta bo‘lsa “Faol”, aks holda “Oddiy”.</t>
  </si>
  <si>
    <t>11. Agar qoldiq minimaldan kam va chiqim 50 dan katta bo‘lsa “Shoshilinch”.</t>
  </si>
  <si>
    <t>12. Agar qoldiq 30 dan kam va narx 10000 dan katta bo‘lsa “Xavfli”.</t>
  </si>
  <si>
    <t>13. Agar kirim 100 dan katta va chiqim 80 dan katta bo‘lsa “Aktiv mahsulot”.</t>
  </si>
  <si>
    <t>14. Agar qoldiq 20 dan kam va chiqim 40 dan katta bo‘lsa “Tez tugayapti”.</t>
  </si>
  <si>
    <t>15. Agar narx 15000 dan katta va qoldiq 50 dan kam bo‘lsa “Qimmat va kam”.</t>
  </si>
  <si>
    <t>16. Agar qoldiq ≥50 va ≤100 bo‘lsa “Normal”.</t>
  </si>
  <si>
    <t>17. Agar chiqim ≥100 va ≤200 bo‘lsa “O‘rtacha sotuv”.</t>
  </si>
  <si>
    <t>18. Agar narx ≥5000 va ≤15000 bo‘lsa “O‘rta narx”.</t>
  </si>
  <si>
    <t>19. Agar kirim ≥100 va qoldiq ≤50 bo‘lsa “Kam qoldi”.</t>
  </si>
  <si>
    <t>20. Agar chiqim ≥70 va qoldiq ≤40 bo‘lsa “Tez sotilmoqda”.</t>
  </si>
  <si>
    <t>21. Qoldiqga qarab baholang: 70+ “Ko‘p”, 40+ “O‘rta”, aks holda “Kam”.</t>
  </si>
  <si>
    <t>22. Narxga qarab: 20000+ “Juda qimmat”, 10000+ “O‘rta”, aks holda “Arzon”.</t>
  </si>
  <si>
    <t>23. Chiqimga qarab: 150+ “Top”, 80+ “Yaxshi”, aks holda “Past”.</t>
  </si>
  <si>
    <t>24. Qoldiqga qarab: 60+ “Yetarli”, 30+ “Nazorat”, aks holda “Kritik”.</t>
  </si>
  <si>
    <t>25. Narxga qarab: 18000+ “Premium”, 10000+ “Standart”, aks holda “Budget”.</t>
  </si>
  <si>
    <t>26. Kirimga qarab: 200+ “Ko‘p”, 100+ “O‘rta”, aks holda “Kam”.</t>
  </si>
  <si>
    <t>27. Qoldiqga qarab: 50+ “OK”, 20+ “Kam”, aks holda “Tugayapti”.</t>
  </si>
  <si>
    <t>28. Chiqimga qarab: 180+ “Juda tez”, 100+ “Tez”, aks holda “Sekin”.</t>
  </si>
  <si>
    <t>29. Narxga qarab: 15000+ “Qimmat”, 8000+ “O‘rta”, aks holda “Arzon”.</t>
  </si>
  <si>
    <t>30. Qoldiqga qarab: 80+ “Zaxira”, 40+ “Normal”, aks holda “Kam”.</t>
  </si>
</sst>
</file>

<file path=xl/styles.xml><?xml version="1.0" encoding="utf-8"?>
<styleSheet xmlns="http://schemas.openxmlformats.org/spreadsheetml/2006/main">
  <numFmts count="6">
    <numFmt numFmtId="176" formatCode="_([$$-409]* #,##0.00_);_([$$-409]* \(#,##0.00\);_([$$-409]* &quot;-&quot;??_);_(@_)"/>
    <numFmt numFmtId="44" formatCode="_(&quot;$&quot;* #,##0.00_);_(&quot;$&quot;* \(#,##0.00\);_(&quot;$&quot;* &quot;-&quot;??_);_(@_)"/>
    <numFmt numFmtId="177" formatCode="_ * #,##0_ ;_ * \-#,##0_ ;_ * &quot;-&quot;_ ;_ @_ "/>
    <numFmt numFmtId="42" formatCode="_(&quot;$&quot;* #,##0_);_(&quot;$&quot;* \(#,##0\);_(&quot;$&quot;* &quot;-&quot;_);_(@_)"/>
    <numFmt numFmtId="178" formatCode="_([$UZS]\ * #,##0.00_);_([$UZS]\ * \(#,##0.00\);_([$UZS]\ * &quot;-&quot;??_);_(@_)"/>
    <numFmt numFmtId="179" formatCode="_ * #,##0.00_ ;_ * \-#,##0.00_ ;_ * &quot;-&quot;??_ ;_ @_ 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204"/>
      <scheme val="minor"/>
    </font>
    <font>
      <sz val="11"/>
      <color theme="1"/>
      <name val="Calibri"/>
      <charset val="20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9" tint="0.599993896298105"/>
        <bgColor theme="9" tint="0.599993896298105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4" fillId="34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21" fillId="11" borderId="10" applyNumberFormat="0" applyAlignment="0" applyProtection="0">
      <alignment vertical="center"/>
    </xf>
    <xf numFmtId="44" fontId="0" fillId="0" borderId="0" applyFont="0" applyFill="0" applyBorder="0"/>
    <xf numFmtId="0" fontId="10" fillId="13" borderId="0" applyNumberFormat="0" applyBorder="0" applyAlignment="0" applyProtection="0">
      <alignment vertical="center"/>
    </xf>
    <xf numFmtId="0" fontId="0" fillId="27" borderId="8" applyNumberFormat="0" applyFon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7" borderId="3" applyNumberFormat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76" fontId="0" fillId="0" borderId="1" xfId="27" applyNumberFormat="1" applyBorder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1"/>
  <sheetViews>
    <sheetView tabSelected="1" zoomScale="145" zoomScaleNormal="145" topLeftCell="K1" workbookViewId="0">
      <selection activeCell="O4" sqref="O4"/>
    </sheetView>
  </sheetViews>
  <sheetFormatPr defaultColWidth="9" defaultRowHeight="14.25"/>
  <cols>
    <col min="1" max="1" width="13.95"/>
    <col min="2" max="2" width="10.425"/>
    <col min="3" max="3" width="12.425"/>
    <col min="4" max="4" width="18.8166666666667" customWidth="1"/>
    <col min="5" max="5" width="20.1416666666667"/>
    <col min="6" max="6" width="12.525"/>
    <col min="8" max="8" width="9.66666666666667"/>
    <col min="9" max="9" width="11.85"/>
    <col min="10" max="10" width="10.9" customWidth="1"/>
    <col min="18" max="18" width="11.7583333333333"/>
    <col min="24" max="24" width="12.425"/>
  </cols>
  <sheetData>
    <row r="1" spans="1:27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6">
        <v>1</v>
      </c>
      <c r="G1" s="16">
        <v>2</v>
      </c>
      <c r="H1" s="16">
        <v>3</v>
      </c>
      <c r="I1" s="16">
        <v>4</v>
      </c>
      <c r="J1" s="16">
        <v>5</v>
      </c>
      <c r="K1" s="16">
        <v>6</v>
      </c>
      <c r="L1" s="16">
        <v>7</v>
      </c>
      <c r="M1" s="16">
        <v>8</v>
      </c>
      <c r="N1" s="16">
        <v>9</v>
      </c>
      <c r="O1" s="16">
        <v>10</v>
      </c>
      <c r="P1" s="16">
        <v>11</v>
      </c>
      <c r="Q1" s="16">
        <v>12</v>
      </c>
      <c r="R1" s="16">
        <v>13</v>
      </c>
      <c r="S1" s="16">
        <v>14</v>
      </c>
      <c r="T1" s="16">
        <v>15</v>
      </c>
      <c r="U1" s="16">
        <v>16</v>
      </c>
      <c r="V1" s="16">
        <v>17</v>
      </c>
      <c r="W1" s="16">
        <v>18</v>
      </c>
      <c r="X1" s="16">
        <v>19</v>
      </c>
      <c r="Y1" s="16">
        <v>20</v>
      </c>
      <c r="Z1" s="16">
        <v>21</v>
      </c>
      <c r="AA1" s="16">
        <v>22</v>
      </c>
    </row>
    <row r="2" spans="1:27">
      <c r="A2" s="11" t="s">
        <v>5</v>
      </c>
      <c r="B2" s="14">
        <f ca="1" t="shared" ref="B2:B11" si="0">RANDBETWEEN(1000,3000)</f>
        <v>2487</v>
      </c>
      <c r="C2" s="11">
        <f ca="1" t="shared" ref="C2:C11" si="1">RANDBETWEEN(10,25)</f>
        <v>23</v>
      </c>
      <c r="D2" s="15">
        <f ca="1" t="shared" ref="D2:D11" si="2">RANDBETWEEN(50000000,150000000)</f>
        <v>89851714</v>
      </c>
      <c r="E2" s="11">
        <f ca="1" t="shared" ref="E2:E9" si="3">IF(D2&gt;80000000,7,0)</f>
        <v>7</v>
      </c>
      <c r="F2" s="11" t="str">
        <f ca="1" t="shared" ref="F2:F9" si="4">IF(D2&gt;80000000,"Chegirma bor","Yo'q")</f>
        <v>Chegirma bor</v>
      </c>
      <c r="G2" s="11" t="str">
        <f ca="1" t="shared" ref="G2:G9" si="5">IF(B2&gt;2000,"Yuqori","Oddiy")</f>
        <v>Yuqori</v>
      </c>
      <c r="H2" s="11" t="str">
        <f ca="1" t="shared" ref="H2:H9" si="6">IF(C2&gt;15,"Ko'p mijoz","Kam")</f>
        <v>Ko'p mijoz</v>
      </c>
      <c r="I2" s="11" t="str">
        <f ca="1" t="shared" ref="I2:I9" si="7">IF(D2&gt;60000000,"Yaxshi savdo","Past")</f>
        <v>Yaxshi savdo</v>
      </c>
      <c r="J2" s="11" t="str">
        <f ca="1" t="shared" ref="J2:J9" si="8">IF(B2&lt;1500,"Kam maosh","Yetarli")</f>
        <v>Yetarli</v>
      </c>
      <c r="K2" s="11" t="str">
        <f ca="1" t="shared" ref="K2:K9" si="9">IF(C2&lt;10,"Kam","Yetarli")</f>
        <v>Yetarli</v>
      </c>
      <c r="L2" s="11" t="str">
        <f ca="1" t="shared" ref="L2:L9" si="10">IF(D2&gt;100000000,"Top","Oddiy")</f>
        <v>Oddiy</v>
      </c>
      <c r="M2" s="11" t="str">
        <f ca="1" t="shared" ref="M2:M9" si="11">IF(B2&gt;2500,"Senio","Junior")</f>
        <v>Junior</v>
      </c>
      <c r="N2" s="11" t="str">
        <f ca="1" t="shared" ref="N2:N9" si="12">IF(D2&gt;50000000,"O'rta","Past")</f>
        <v>O'rta</v>
      </c>
      <c r="O2" s="11" t="str">
        <f ca="1" t="shared" ref="O2:O9" si="13">IF(C2&gt;20,"Zo'r","Oddiy")</f>
        <v>Zo'r</v>
      </c>
      <c r="P2" s="11" t="str">
        <f ca="1" t="shared" ref="P2:P9" si="14">IF(AND(D2&gt;8000000,C2&gt;15),"Yaxshi","Oddiy")</f>
        <v>Yaxshi</v>
      </c>
      <c r="Q2" s="11" t="str">
        <f ca="1" t="shared" ref="Q2:Q9" si="15">IF(AND(B2&gt;=1000,B2&lt;=3000),"Normal","Notog'ri")</f>
        <v>Normal</v>
      </c>
      <c r="R2" s="11" t="str">
        <f ca="1" t="shared" ref="R2:R9" si="16">IF(AND(D2&gt;70000000,B2&gt;2000),"Top menejer")</f>
        <v>Top menejer</v>
      </c>
      <c r="S2" s="11" t="str">
        <f ca="1" t="shared" ref="S2:S9" si="17">IF(AND(C2&gt;=10,C2&lt;=20),"O'rta","Boshqa")</f>
        <v>Boshqa</v>
      </c>
      <c r="T2" s="11" t="str">
        <f ca="1" t="shared" ref="T2:T9" si="18">IF(AND(D2&gt;=5000000,D2&lt;=150000000),"Rejada","Tashqarida")</f>
        <v>Rejada</v>
      </c>
      <c r="U2" s="11" t="str">
        <f ca="1" t="shared" ref="U2:U9" si="19">IF(AND(B2&gt;=1500,C2&gt;=10),"Barqaror","Zaif")</f>
        <v>Barqaror</v>
      </c>
      <c r="V2" s="11" t="str">
        <f ca="1" t="shared" ref="V2:V9" si="20">IF(AND(D2&gt;=9000000,C2&gt;=20),"Excellent","Oddiy")</f>
        <v>Excellent</v>
      </c>
      <c r="W2" s="11" t="str">
        <f ca="1" t="shared" ref="W2:W9" si="21">IF(AND(B2&lt;=3000,B2&gt;=1000),"OK","Tekshirilsin")</f>
        <v>OK</v>
      </c>
      <c r="X2" s="11" t="str">
        <f ca="1" t="shared" ref="X2:X11" si="22">IF(AND(C2&gt;=15,D2&gt;=8000000),"Yuqori daraja","Past")</f>
        <v>Yuqori daraja</v>
      </c>
      <c r="Y2" s="11" t="str">
        <f ca="1">IF(AND(D2&gt;=60,D2&lt;=90),"O'rta segment","Boshqa")</f>
        <v>Boshqa</v>
      </c>
      <c r="Z2" s="11" t="str">
        <f ca="1">_xlfn.IFS(D2&gt;=90,"A'lo",D2&gt;=70,"O'rta",D2&gt;=50,"Yaxshi",TRUE,"Past")</f>
        <v>A'lo</v>
      </c>
      <c r="AA2" s="11" t="str">
        <f ca="1">_xlfn.IFS(B2&gt;=2500,"Yuqori",B2&gt;=1500,"O'rta",TRUE,"Past")</f>
        <v>O'rta</v>
      </c>
    </row>
    <row r="3" spans="1:27">
      <c r="A3" s="11" t="s">
        <v>6</v>
      </c>
      <c r="B3" s="14">
        <f ca="1" t="shared" si="0"/>
        <v>1797</v>
      </c>
      <c r="C3" s="11">
        <f ca="1" t="shared" si="1"/>
        <v>12</v>
      </c>
      <c r="D3" s="15">
        <f ca="1" t="shared" si="2"/>
        <v>75162387</v>
      </c>
      <c r="E3" s="11">
        <f ca="1" t="shared" si="3"/>
        <v>0</v>
      </c>
      <c r="F3" s="11" t="str">
        <f ca="1" t="shared" si="4"/>
        <v>Yo'q</v>
      </c>
      <c r="G3" s="11" t="str">
        <f ca="1" t="shared" si="5"/>
        <v>Oddiy</v>
      </c>
      <c r="H3" s="11" t="str">
        <f ca="1" t="shared" si="6"/>
        <v>Kam</v>
      </c>
      <c r="I3" s="11" t="str">
        <f ca="1" t="shared" si="7"/>
        <v>Yaxshi savdo</v>
      </c>
      <c r="J3" s="11" t="str">
        <f ca="1" t="shared" si="8"/>
        <v>Yetarli</v>
      </c>
      <c r="K3" s="11" t="str">
        <f ca="1" t="shared" si="9"/>
        <v>Yetarli</v>
      </c>
      <c r="L3" s="11" t="str">
        <f ca="1" t="shared" si="10"/>
        <v>Oddiy</v>
      </c>
      <c r="M3" s="11" t="str">
        <f ca="1" t="shared" si="11"/>
        <v>Junior</v>
      </c>
      <c r="N3" s="11" t="str">
        <f ca="1" t="shared" si="12"/>
        <v>O'rta</v>
      </c>
      <c r="O3" s="11" t="str">
        <f ca="1" t="shared" si="13"/>
        <v>Oddiy</v>
      </c>
      <c r="P3" s="11" t="str">
        <f ca="1" t="shared" si="14"/>
        <v>Oddiy</v>
      </c>
      <c r="Q3" s="11" t="str">
        <f ca="1" t="shared" si="15"/>
        <v>Normal</v>
      </c>
      <c r="R3" s="11" t="b">
        <f ca="1" t="shared" si="16"/>
        <v>0</v>
      </c>
      <c r="S3" s="11" t="str">
        <f ca="1" t="shared" si="17"/>
        <v>O'rta</v>
      </c>
      <c r="T3" s="11" t="str">
        <f ca="1" t="shared" si="18"/>
        <v>Rejada</v>
      </c>
      <c r="U3" s="11" t="str">
        <f ca="1" t="shared" si="19"/>
        <v>Barqaror</v>
      </c>
      <c r="V3" s="11" t="str">
        <f ca="1" t="shared" si="20"/>
        <v>Oddiy</v>
      </c>
      <c r="W3" s="11" t="str">
        <f ca="1" t="shared" si="21"/>
        <v>OK</v>
      </c>
      <c r="X3" s="11" t="str">
        <f ca="1" t="shared" si="22"/>
        <v>Past</v>
      </c>
      <c r="Y3" s="11" t="str">
        <f ca="1" t="shared" ref="Y3:Y11" si="23">IF(AND(D3&gt;=60,D3&lt;=90),"O'rta segment","Boshqa")</f>
        <v>Boshqa</v>
      </c>
      <c r="Z3" s="11" t="str">
        <f ca="1" t="shared" ref="Z3:Z11" si="24">_xlfn.IFS(D3&gt;=90,"A'lo",D3&gt;=70,"O'rta",D3&gt;=50,"Yaxshi",TRUE,"Past")</f>
        <v>A'lo</v>
      </c>
      <c r="AA3" s="11" t="str">
        <f ca="1" t="shared" ref="AA3:AA11" si="25">_xlfn.IFS(B3&gt;=2500,"Yuqori",B3&gt;=1500,"O'rta",TRUE,"Past")</f>
        <v>O'rta</v>
      </c>
    </row>
    <row r="4" spans="1:27">
      <c r="A4" s="11" t="s">
        <v>7</v>
      </c>
      <c r="B4" s="14">
        <f ca="1" t="shared" si="0"/>
        <v>1797</v>
      </c>
      <c r="C4" s="11">
        <f ca="1" t="shared" si="1"/>
        <v>16</v>
      </c>
      <c r="D4" s="15">
        <f ca="1" t="shared" si="2"/>
        <v>54550050</v>
      </c>
      <c r="E4" s="11">
        <f ca="1" t="shared" si="3"/>
        <v>0</v>
      </c>
      <c r="F4" s="11" t="str">
        <f ca="1" t="shared" si="4"/>
        <v>Yo'q</v>
      </c>
      <c r="G4" s="11" t="str">
        <f ca="1" t="shared" si="5"/>
        <v>Oddiy</v>
      </c>
      <c r="H4" s="11" t="str">
        <f ca="1" t="shared" si="6"/>
        <v>Ko'p mijoz</v>
      </c>
      <c r="I4" s="11" t="str">
        <f ca="1" t="shared" si="7"/>
        <v>Past</v>
      </c>
      <c r="J4" s="11" t="str">
        <f ca="1" t="shared" si="8"/>
        <v>Yetarli</v>
      </c>
      <c r="K4" s="11" t="str">
        <f ca="1" t="shared" si="9"/>
        <v>Yetarli</v>
      </c>
      <c r="L4" s="11" t="str">
        <f ca="1" t="shared" si="10"/>
        <v>Oddiy</v>
      </c>
      <c r="M4" s="11" t="str">
        <f ca="1" t="shared" si="11"/>
        <v>Junior</v>
      </c>
      <c r="N4" s="11" t="str">
        <f ca="1" t="shared" si="12"/>
        <v>O'rta</v>
      </c>
      <c r="O4" s="11" t="str">
        <f ca="1" t="shared" si="13"/>
        <v>Oddiy</v>
      </c>
      <c r="P4" s="11" t="str">
        <f ca="1" t="shared" si="14"/>
        <v>Yaxshi</v>
      </c>
      <c r="Q4" s="11" t="str">
        <f ca="1" t="shared" si="15"/>
        <v>Normal</v>
      </c>
      <c r="R4" s="11" t="b">
        <f ca="1" t="shared" si="16"/>
        <v>0</v>
      </c>
      <c r="S4" s="11" t="str">
        <f ca="1" t="shared" si="17"/>
        <v>O'rta</v>
      </c>
      <c r="T4" s="11" t="str">
        <f ca="1" t="shared" si="18"/>
        <v>Rejada</v>
      </c>
      <c r="U4" s="11" t="str">
        <f ca="1" t="shared" si="19"/>
        <v>Barqaror</v>
      </c>
      <c r="V4" s="11" t="str">
        <f ca="1" t="shared" si="20"/>
        <v>Oddiy</v>
      </c>
      <c r="W4" s="11" t="str">
        <f ca="1" t="shared" si="21"/>
        <v>OK</v>
      </c>
      <c r="X4" s="11" t="str">
        <f ca="1" t="shared" si="22"/>
        <v>Yuqori daraja</v>
      </c>
      <c r="Y4" s="11" t="str">
        <f ca="1" t="shared" si="23"/>
        <v>Boshqa</v>
      </c>
      <c r="Z4" s="11" t="str">
        <f ca="1" t="shared" si="24"/>
        <v>A'lo</v>
      </c>
      <c r="AA4" s="11" t="str">
        <f ca="1" t="shared" si="25"/>
        <v>O'rta</v>
      </c>
    </row>
    <row r="5" spans="1:27">
      <c r="A5" s="11" t="s">
        <v>8</v>
      </c>
      <c r="B5" s="14">
        <f ca="1" t="shared" si="0"/>
        <v>1797</v>
      </c>
      <c r="C5" s="11">
        <f ca="1" t="shared" si="1"/>
        <v>14</v>
      </c>
      <c r="D5" s="15">
        <f ca="1" t="shared" si="2"/>
        <v>75163993</v>
      </c>
      <c r="E5" s="11">
        <f ca="1" t="shared" si="3"/>
        <v>0</v>
      </c>
      <c r="F5" s="11" t="str">
        <f ca="1" t="shared" si="4"/>
        <v>Yo'q</v>
      </c>
      <c r="G5" s="11" t="str">
        <f ca="1" t="shared" si="5"/>
        <v>Oddiy</v>
      </c>
      <c r="H5" s="11" t="str">
        <f ca="1" t="shared" si="6"/>
        <v>Kam</v>
      </c>
      <c r="I5" s="11" t="str">
        <f ca="1" t="shared" si="7"/>
        <v>Yaxshi savdo</v>
      </c>
      <c r="J5" s="11" t="str">
        <f ca="1" t="shared" si="8"/>
        <v>Yetarli</v>
      </c>
      <c r="K5" s="11" t="str">
        <f ca="1" t="shared" si="9"/>
        <v>Yetarli</v>
      </c>
      <c r="L5" s="11" t="str">
        <f ca="1" t="shared" si="10"/>
        <v>Oddiy</v>
      </c>
      <c r="M5" s="11" t="str">
        <f ca="1" t="shared" si="11"/>
        <v>Junior</v>
      </c>
      <c r="N5" s="11" t="str">
        <f ca="1" t="shared" si="12"/>
        <v>O'rta</v>
      </c>
      <c r="O5" s="11" t="str">
        <f ca="1" t="shared" si="13"/>
        <v>Oddiy</v>
      </c>
      <c r="P5" s="11" t="str">
        <f ca="1" t="shared" si="14"/>
        <v>Oddiy</v>
      </c>
      <c r="Q5" s="11" t="str">
        <f ca="1" t="shared" si="15"/>
        <v>Normal</v>
      </c>
      <c r="R5" s="11" t="b">
        <f ca="1" t="shared" si="16"/>
        <v>0</v>
      </c>
      <c r="S5" s="11" t="str">
        <f ca="1" t="shared" si="17"/>
        <v>O'rta</v>
      </c>
      <c r="T5" s="11" t="str">
        <f ca="1" t="shared" si="18"/>
        <v>Rejada</v>
      </c>
      <c r="U5" s="11" t="str">
        <f ca="1" t="shared" si="19"/>
        <v>Barqaror</v>
      </c>
      <c r="V5" s="11" t="str">
        <f ca="1" t="shared" si="20"/>
        <v>Oddiy</v>
      </c>
      <c r="W5" s="11" t="str">
        <f ca="1" t="shared" si="21"/>
        <v>OK</v>
      </c>
      <c r="X5" s="11" t="str">
        <f ca="1" t="shared" si="22"/>
        <v>Past</v>
      </c>
      <c r="Y5" s="11" t="str">
        <f ca="1" t="shared" si="23"/>
        <v>Boshqa</v>
      </c>
      <c r="Z5" s="11" t="str">
        <f ca="1" t="shared" si="24"/>
        <v>A'lo</v>
      </c>
      <c r="AA5" s="11" t="str">
        <f ca="1" t="shared" si="25"/>
        <v>O'rta</v>
      </c>
    </row>
    <row r="6" spans="1:27">
      <c r="A6" s="11" t="s">
        <v>9</v>
      </c>
      <c r="B6" s="14">
        <f ca="1" t="shared" si="0"/>
        <v>2729</v>
      </c>
      <c r="C6" s="11">
        <f ca="1" t="shared" si="1"/>
        <v>14</v>
      </c>
      <c r="D6" s="15">
        <f ca="1" t="shared" si="2"/>
        <v>101230930</v>
      </c>
      <c r="E6" s="11">
        <f ca="1" t="shared" si="3"/>
        <v>7</v>
      </c>
      <c r="F6" s="11" t="str">
        <f ca="1" t="shared" si="4"/>
        <v>Chegirma bor</v>
      </c>
      <c r="G6" s="11" t="str">
        <f ca="1" t="shared" si="5"/>
        <v>Yuqori</v>
      </c>
      <c r="H6" s="11" t="str">
        <f ca="1" t="shared" si="6"/>
        <v>Kam</v>
      </c>
      <c r="I6" s="11" t="str">
        <f ca="1" t="shared" si="7"/>
        <v>Yaxshi savdo</v>
      </c>
      <c r="J6" s="11" t="str">
        <f ca="1" t="shared" si="8"/>
        <v>Yetarli</v>
      </c>
      <c r="K6" s="11" t="str">
        <f ca="1" t="shared" si="9"/>
        <v>Yetarli</v>
      </c>
      <c r="L6" s="11" t="str">
        <f ca="1" t="shared" si="10"/>
        <v>Top</v>
      </c>
      <c r="M6" s="11" t="str">
        <f ca="1" t="shared" si="11"/>
        <v>Senio</v>
      </c>
      <c r="N6" s="11" t="str">
        <f ca="1" t="shared" si="12"/>
        <v>O'rta</v>
      </c>
      <c r="O6" s="11" t="str">
        <f ca="1" t="shared" si="13"/>
        <v>Oddiy</v>
      </c>
      <c r="P6" s="11" t="str">
        <f ca="1" t="shared" si="14"/>
        <v>Oddiy</v>
      </c>
      <c r="Q6" s="11" t="str">
        <f ca="1" t="shared" si="15"/>
        <v>Normal</v>
      </c>
      <c r="R6" s="11" t="str">
        <f ca="1" t="shared" si="16"/>
        <v>Top menejer</v>
      </c>
      <c r="S6" s="11" t="str">
        <f ca="1" t="shared" si="17"/>
        <v>O'rta</v>
      </c>
      <c r="T6" s="11" t="str">
        <f ca="1" t="shared" si="18"/>
        <v>Rejada</v>
      </c>
      <c r="U6" s="11" t="str">
        <f ca="1" t="shared" si="19"/>
        <v>Barqaror</v>
      </c>
      <c r="V6" s="11" t="str">
        <f ca="1" t="shared" si="20"/>
        <v>Oddiy</v>
      </c>
      <c r="W6" s="11" t="str">
        <f ca="1" t="shared" si="21"/>
        <v>OK</v>
      </c>
      <c r="X6" s="11" t="str">
        <f ca="1" t="shared" si="22"/>
        <v>Past</v>
      </c>
      <c r="Y6" s="11" t="str">
        <f ca="1" t="shared" si="23"/>
        <v>Boshqa</v>
      </c>
      <c r="Z6" s="11" t="str">
        <f ca="1" t="shared" si="24"/>
        <v>A'lo</v>
      </c>
      <c r="AA6" s="11" t="str">
        <f ca="1" t="shared" si="25"/>
        <v>Yuqori</v>
      </c>
    </row>
    <row r="7" spans="1:27">
      <c r="A7" s="11" t="s">
        <v>10</v>
      </c>
      <c r="B7" s="14">
        <f ca="1" t="shared" si="0"/>
        <v>2025</v>
      </c>
      <c r="C7" s="11">
        <f ca="1" t="shared" si="1"/>
        <v>16</v>
      </c>
      <c r="D7" s="15">
        <f ca="1" t="shared" si="2"/>
        <v>136435327</v>
      </c>
      <c r="E7" s="11">
        <f ca="1" t="shared" si="3"/>
        <v>7</v>
      </c>
      <c r="F7" s="11" t="str">
        <f ca="1" t="shared" si="4"/>
        <v>Chegirma bor</v>
      </c>
      <c r="G7" s="11" t="str">
        <f ca="1" t="shared" si="5"/>
        <v>Yuqori</v>
      </c>
      <c r="H7" s="11" t="str">
        <f ca="1" t="shared" si="6"/>
        <v>Ko'p mijoz</v>
      </c>
      <c r="I7" s="11" t="str">
        <f ca="1" t="shared" si="7"/>
        <v>Yaxshi savdo</v>
      </c>
      <c r="J7" s="11" t="str">
        <f ca="1" t="shared" si="8"/>
        <v>Yetarli</v>
      </c>
      <c r="K7" s="11" t="str">
        <f ca="1" t="shared" si="9"/>
        <v>Yetarli</v>
      </c>
      <c r="L7" s="11" t="str">
        <f ca="1" t="shared" si="10"/>
        <v>Top</v>
      </c>
      <c r="M7" s="11" t="str">
        <f ca="1" t="shared" si="11"/>
        <v>Junior</v>
      </c>
      <c r="N7" s="11" t="str">
        <f ca="1" t="shared" si="12"/>
        <v>O'rta</v>
      </c>
      <c r="O7" s="11" t="str">
        <f ca="1" t="shared" si="13"/>
        <v>Oddiy</v>
      </c>
      <c r="P7" s="11" t="str">
        <f ca="1" t="shared" si="14"/>
        <v>Yaxshi</v>
      </c>
      <c r="Q7" s="11" t="str">
        <f ca="1" t="shared" si="15"/>
        <v>Normal</v>
      </c>
      <c r="R7" s="11" t="str">
        <f ca="1" t="shared" si="16"/>
        <v>Top menejer</v>
      </c>
      <c r="S7" s="11" t="str">
        <f ca="1" t="shared" si="17"/>
        <v>O'rta</v>
      </c>
      <c r="T7" s="11" t="str">
        <f ca="1" t="shared" si="18"/>
        <v>Rejada</v>
      </c>
      <c r="U7" s="11" t="str">
        <f ca="1" t="shared" si="19"/>
        <v>Barqaror</v>
      </c>
      <c r="V7" s="11" t="str">
        <f ca="1" t="shared" si="20"/>
        <v>Oddiy</v>
      </c>
      <c r="W7" s="11" t="str">
        <f ca="1" t="shared" si="21"/>
        <v>OK</v>
      </c>
      <c r="X7" s="11" t="str">
        <f ca="1" t="shared" si="22"/>
        <v>Yuqori daraja</v>
      </c>
      <c r="Y7" s="11" t="str">
        <f ca="1" t="shared" si="23"/>
        <v>Boshqa</v>
      </c>
      <c r="Z7" s="11" t="str">
        <f ca="1" t="shared" si="24"/>
        <v>A'lo</v>
      </c>
      <c r="AA7" s="11" t="str">
        <f ca="1" t="shared" si="25"/>
        <v>O'rta</v>
      </c>
    </row>
    <row r="8" spans="1:27">
      <c r="A8" s="11" t="s">
        <v>11</v>
      </c>
      <c r="B8" s="14">
        <f ca="1" t="shared" si="0"/>
        <v>2487</v>
      </c>
      <c r="C8" s="11">
        <f ca="1" t="shared" si="1"/>
        <v>12</v>
      </c>
      <c r="D8" s="15">
        <f ca="1" t="shared" si="2"/>
        <v>75162798</v>
      </c>
      <c r="E8" s="11">
        <f ca="1" t="shared" si="3"/>
        <v>0</v>
      </c>
      <c r="F8" s="11" t="str">
        <f ca="1" t="shared" si="4"/>
        <v>Yo'q</v>
      </c>
      <c r="G8" s="11" t="str">
        <f ca="1" t="shared" si="5"/>
        <v>Yuqori</v>
      </c>
      <c r="H8" s="11" t="str">
        <f ca="1" t="shared" si="6"/>
        <v>Kam</v>
      </c>
      <c r="I8" s="11" t="str">
        <f ca="1" t="shared" si="7"/>
        <v>Yaxshi savdo</v>
      </c>
      <c r="J8" s="11" t="str">
        <f ca="1" t="shared" si="8"/>
        <v>Yetarli</v>
      </c>
      <c r="K8" s="11" t="str">
        <f ca="1" t="shared" si="9"/>
        <v>Yetarli</v>
      </c>
      <c r="L8" s="11" t="str">
        <f ca="1" t="shared" si="10"/>
        <v>Oddiy</v>
      </c>
      <c r="M8" s="11" t="str">
        <f ca="1" t="shared" si="11"/>
        <v>Junior</v>
      </c>
      <c r="N8" s="11" t="str">
        <f ca="1" t="shared" si="12"/>
        <v>O'rta</v>
      </c>
      <c r="O8" s="11" t="str">
        <f ca="1" t="shared" si="13"/>
        <v>Oddiy</v>
      </c>
      <c r="P8" s="11" t="str">
        <f ca="1" t="shared" si="14"/>
        <v>Oddiy</v>
      </c>
      <c r="Q8" s="11" t="str">
        <f ca="1" t="shared" si="15"/>
        <v>Normal</v>
      </c>
      <c r="R8" s="11" t="str">
        <f ca="1" t="shared" si="16"/>
        <v>Top menejer</v>
      </c>
      <c r="S8" s="11" t="str">
        <f ca="1" t="shared" si="17"/>
        <v>O'rta</v>
      </c>
      <c r="T8" s="11" t="str">
        <f ca="1" t="shared" si="18"/>
        <v>Rejada</v>
      </c>
      <c r="U8" s="11" t="str">
        <f ca="1" t="shared" si="19"/>
        <v>Barqaror</v>
      </c>
      <c r="V8" s="11" t="str">
        <f ca="1" t="shared" si="20"/>
        <v>Oddiy</v>
      </c>
      <c r="W8" s="11" t="str">
        <f ca="1" t="shared" si="21"/>
        <v>OK</v>
      </c>
      <c r="X8" s="11" t="str">
        <f ca="1" t="shared" si="22"/>
        <v>Past</v>
      </c>
      <c r="Y8" s="11" t="str">
        <f ca="1" t="shared" si="23"/>
        <v>Boshqa</v>
      </c>
      <c r="Z8" s="11" t="str">
        <f ca="1" t="shared" si="24"/>
        <v>A'lo</v>
      </c>
      <c r="AA8" s="11" t="str">
        <f ca="1" t="shared" si="25"/>
        <v>O'rta</v>
      </c>
    </row>
    <row r="9" spans="1:27">
      <c r="A9" s="11" t="s">
        <v>12</v>
      </c>
      <c r="B9" s="14">
        <f ca="1" t="shared" si="0"/>
        <v>2487</v>
      </c>
      <c r="C9" s="11">
        <f ca="1" t="shared" si="1"/>
        <v>16</v>
      </c>
      <c r="D9" s="15">
        <f ca="1" t="shared" si="2"/>
        <v>101232028</v>
      </c>
      <c r="E9" s="11">
        <f ca="1" t="shared" si="3"/>
        <v>7</v>
      </c>
      <c r="F9" s="11" t="str">
        <f ca="1" t="shared" si="4"/>
        <v>Chegirma bor</v>
      </c>
      <c r="G9" s="11" t="str">
        <f ca="1" t="shared" si="5"/>
        <v>Yuqori</v>
      </c>
      <c r="H9" s="11" t="str">
        <f ca="1" t="shared" si="6"/>
        <v>Ko'p mijoz</v>
      </c>
      <c r="I9" s="11" t="str">
        <f ca="1" t="shared" si="7"/>
        <v>Yaxshi savdo</v>
      </c>
      <c r="J9" s="11" t="str">
        <f ca="1" t="shared" si="8"/>
        <v>Yetarli</v>
      </c>
      <c r="K9" s="11" t="str">
        <f ca="1" t="shared" si="9"/>
        <v>Yetarli</v>
      </c>
      <c r="L9" s="11" t="str">
        <f ca="1" t="shared" si="10"/>
        <v>Top</v>
      </c>
      <c r="M9" s="11" t="str">
        <f ca="1" t="shared" si="11"/>
        <v>Junior</v>
      </c>
      <c r="N9" s="11" t="str">
        <f ca="1" t="shared" si="12"/>
        <v>O'rta</v>
      </c>
      <c r="O9" s="11" t="str">
        <f ca="1" t="shared" si="13"/>
        <v>Oddiy</v>
      </c>
      <c r="P9" s="11" t="str">
        <f ca="1" t="shared" si="14"/>
        <v>Yaxshi</v>
      </c>
      <c r="Q9" s="11" t="str">
        <f ca="1" t="shared" si="15"/>
        <v>Normal</v>
      </c>
      <c r="R9" s="11" t="str">
        <f ca="1" t="shared" si="16"/>
        <v>Top menejer</v>
      </c>
      <c r="S9" s="11" t="str">
        <f ca="1" t="shared" si="17"/>
        <v>O'rta</v>
      </c>
      <c r="T9" s="11" t="str">
        <f ca="1" t="shared" si="18"/>
        <v>Rejada</v>
      </c>
      <c r="U9" s="11" t="str">
        <f ca="1" t="shared" si="19"/>
        <v>Barqaror</v>
      </c>
      <c r="V9" s="11" t="str">
        <f ca="1" t="shared" si="20"/>
        <v>Oddiy</v>
      </c>
      <c r="W9" s="11" t="str">
        <f ca="1" t="shared" si="21"/>
        <v>OK</v>
      </c>
      <c r="X9" s="11" t="str">
        <f ca="1" t="shared" si="22"/>
        <v>Yuqori daraja</v>
      </c>
      <c r="Y9" s="11" t="str">
        <f ca="1" t="shared" si="23"/>
        <v>Boshqa</v>
      </c>
      <c r="Z9" s="11" t="str">
        <f ca="1" t="shared" si="24"/>
        <v>A'lo</v>
      </c>
      <c r="AA9" s="11" t="str">
        <f ca="1" t="shared" si="25"/>
        <v>O'rta</v>
      </c>
    </row>
    <row r="10" spans="1:27">
      <c r="A10" s="11" t="s">
        <v>13</v>
      </c>
      <c r="B10" s="14">
        <f ca="1" t="shared" si="0"/>
        <v>1503</v>
      </c>
      <c r="C10" s="11">
        <f ca="1" t="shared" si="1"/>
        <v>14</v>
      </c>
      <c r="D10" s="15">
        <f ca="1" t="shared" si="2"/>
        <v>124340009</v>
      </c>
      <c r="E10" s="11">
        <f ca="1" t="shared" ref="E10:E11" si="26">IF(D10&gt;80000000,7,0)</f>
        <v>7</v>
      </c>
      <c r="F10" s="11" t="str">
        <f ca="1" t="shared" ref="F10:F11" si="27">IF(D10&gt;80000000,"Chegirma bor","Yo'q")</f>
        <v>Chegirma bor</v>
      </c>
      <c r="G10" s="11" t="str">
        <f ca="1" t="shared" ref="G10:G11" si="28">IF(B10&gt;2000,"Yuqori","Oddiy")</f>
        <v>Oddiy</v>
      </c>
      <c r="H10" s="11" t="str">
        <f ca="1" t="shared" ref="H10:H11" si="29">IF(C10&gt;15,"Ko'p mijoz","Kam")</f>
        <v>Kam</v>
      </c>
      <c r="I10" s="11" t="str">
        <f ca="1" t="shared" ref="I10:I11" si="30">IF(D10&gt;60000000,"Yaxshi savdo","Past")</f>
        <v>Yaxshi savdo</v>
      </c>
      <c r="J10" s="11" t="str">
        <f ca="1" t="shared" ref="J10:J11" si="31">IF(B10&lt;1500,"Kam maosh","Yetarli")</f>
        <v>Yetarli</v>
      </c>
      <c r="K10" s="11" t="str">
        <f ca="1" t="shared" ref="K10:K11" si="32">IF(C10&lt;10,"Kam","Yetarli")</f>
        <v>Yetarli</v>
      </c>
      <c r="L10" s="11" t="str">
        <f ca="1" t="shared" ref="L10:L11" si="33">IF(D10&gt;100000000,"Top","Oddiy")</f>
        <v>Top</v>
      </c>
      <c r="M10" s="11" t="str">
        <f ca="1" t="shared" ref="M10:M11" si="34">IF(B10&gt;2500,"Senio","Junior")</f>
        <v>Junior</v>
      </c>
      <c r="N10" s="11" t="str">
        <f ca="1" t="shared" ref="N10:N11" si="35">IF(D10&gt;50000000,"O'rta","Past")</f>
        <v>O'rta</v>
      </c>
      <c r="O10" s="11" t="str">
        <f ca="1" t="shared" ref="O10:O11" si="36">IF(C10&gt;20,"Zo'r","Oddiy")</f>
        <v>Oddiy</v>
      </c>
      <c r="P10" s="11" t="str">
        <f ca="1" t="shared" ref="P10:P11" si="37">IF(AND(D10&gt;8000000,C10&gt;15),"Yaxshi","Oddiy")</f>
        <v>Oddiy</v>
      </c>
      <c r="Q10" s="11" t="str">
        <f ca="1" t="shared" ref="Q10:Q11" si="38">IF(AND(B10&gt;=1000,B10&lt;=3000),"Normal","Notog'ri")</f>
        <v>Normal</v>
      </c>
      <c r="R10" s="11" t="b">
        <f ca="1" t="shared" ref="R10:R11" si="39">IF(AND(D10&gt;70000000,B10&gt;2000),"Top menejer")</f>
        <v>0</v>
      </c>
      <c r="S10" s="11" t="str">
        <f ca="1" t="shared" ref="S10:S11" si="40">IF(AND(C10&gt;=10,C10&lt;=20),"O'rta","Boshqa")</f>
        <v>O'rta</v>
      </c>
      <c r="T10" s="11" t="str">
        <f ca="1" t="shared" ref="T10:T11" si="41">IF(AND(D10&gt;=5000000,D10&lt;=150000000),"Rejada","Tashqarida")</f>
        <v>Rejada</v>
      </c>
      <c r="U10" s="11" t="str">
        <f ca="1" t="shared" ref="U10:U11" si="42">IF(AND(B10&gt;=1500,C10&gt;=10),"Barqaror","Zaif")</f>
        <v>Barqaror</v>
      </c>
      <c r="V10" s="11" t="str">
        <f ca="1" t="shared" ref="V10:V11" si="43">IF(AND(D10&gt;=9000000,C10&gt;=20),"Excellent","Oddiy")</f>
        <v>Oddiy</v>
      </c>
      <c r="W10" s="11" t="str">
        <f ca="1" t="shared" ref="W10:W11" si="44">IF(AND(B10&lt;=3000,B10&gt;=1000),"OK","Tekshirilsin")</f>
        <v>OK</v>
      </c>
      <c r="X10" s="11" t="str">
        <f ca="1" t="shared" si="22"/>
        <v>Past</v>
      </c>
      <c r="Y10" s="11" t="str">
        <f ca="1" t="shared" si="23"/>
        <v>Boshqa</v>
      </c>
      <c r="Z10" s="11" t="str">
        <f ca="1" t="shared" si="24"/>
        <v>A'lo</v>
      </c>
      <c r="AA10" s="11" t="str">
        <f ca="1" t="shared" si="25"/>
        <v>O'rta</v>
      </c>
    </row>
    <row r="11" spans="1:27">
      <c r="A11" s="11" t="s">
        <v>14</v>
      </c>
      <c r="B11" s="14">
        <f ca="1" t="shared" si="0"/>
        <v>1797</v>
      </c>
      <c r="C11" s="11">
        <f ca="1" t="shared" si="1"/>
        <v>14</v>
      </c>
      <c r="D11" s="15">
        <f ca="1" t="shared" si="2"/>
        <v>136435778</v>
      </c>
      <c r="E11" s="11">
        <f ca="1" t="shared" si="26"/>
        <v>7</v>
      </c>
      <c r="F11" s="11" t="str">
        <f ca="1" t="shared" si="27"/>
        <v>Chegirma bor</v>
      </c>
      <c r="G11" s="11" t="str">
        <f ca="1" t="shared" si="28"/>
        <v>Oddiy</v>
      </c>
      <c r="H11" s="11" t="str">
        <f ca="1" t="shared" si="29"/>
        <v>Kam</v>
      </c>
      <c r="I11" s="11" t="str">
        <f ca="1" t="shared" si="30"/>
        <v>Yaxshi savdo</v>
      </c>
      <c r="J11" s="11" t="str">
        <f ca="1" t="shared" si="31"/>
        <v>Yetarli</v>
      </c>
      <c r="K11" s="11" t="str">
        <f ca="1" t="shared" si="32"/>
        <v>Yetarli</v>
      </c>
      <c r="L11" s="11" t="str">
        <f ca="1" t="shared" si="33"/>
        <v>Top</v>
      </c>
      <c r="M11" s="11" t="str">
        <f ca="1" t="shared" si="34"/>
        <v>Junior</v>
      </c>
      <c r="N11" s="11" t="str">
        <f ca="1" t="shared" si="35"/>
        <v>O'rta</v>
      </c>
      <c r="O11" s="11" t="str">
        <f ca="1" t="shared" si="36"/>
        <v>Oddiy</v>
      </c>
      <c r="P11" s="11" t="str">
        <f ca="1" t="shared" si="37"/>
        <v>Oddiy</v>
      </c>
      <c r="Q11" s="11" t="str">
        <f ca="1" t="shared" si="38"/>
        <v>Normal</v>
      </c>
      <c r="R11" s="11" t="b">
        <f ca="1" t="shared" si="39"/>
        <v>0</v>
      </c>
      <c r="S11" s="11" t="str">
        <f ca="1" t="shared" si="40"/>
        <v>O'rta</v>
      </c>
      <c r="T11" s="11" t="str">
        <f ca="1" t="shared" si="41"/>
        <v>Rejada</v>
      </c>
      <c r="U11" s="11" t="str">
        <f ca="1" t="shared" si="42"/>
        <v>Barqaror</v>
      </c>
      <c r="V11" s="11" t="str">
        <f ca="1" t="shared" si="43"/>
        <v>Oddiy</v>
      </c>
      <c r="W11" s="11" t="str">
        <f ca="1" t="shared" si="44"/>
        <v>OK</v>
      </c>
      <c r="X11" s="11" t="str">
        <f ca="1" t="shared" si="22"/>
        <v>Past</v>
      </c>
      <c r="Y11" s="11" t="str">
        <f ca="1" t="shared" si="23"/>
        <v>Boshqa</v>
      </c>
      <c r="Z11" s="11" t="str">
        <f ca="1" t="shared" si="24"/>
        <v>A'lo</v>
      </c>
      <c r="AA11" s="11" t="str">
        <f ca="1" t="shared" si="25"/>
        <v>O'rta</v>
      </c>
    </row>
  </sheetData>
  <pageMargins left="0.7" right="0.7" top="0.75" bottom="0.75" header="0.3" footer="0.3"/>
  <pageSetup paperSize="1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3"/>
  <sheetViews>
    <sheetView topLeftCell="B1" workbookViewId="0">
      <selection activeCell="R4" sqref="R4"/>
    </sheetView>
  </sheetViews>
  <sheetFormatPr defaultColWidth="9" defaultRowHeight="14.25"/>
  <cols>
    <col min="1" max="1" width="70.625" style="1" customWidth="1"/>
    <col min="2" max="4" width="9" style="1"/>
    <col min="5" max="5" width="11.25" style="1" customWidth="1"/>
    <col min="6" max="6" width="9" style="1"/>
    <col min="7" max="7" width="15" style="1" customWidth="1"/>
    <col min="8" max="9" width="9" style="1"/>
    <col min="10" max="10" width="12.375" style="2" customWidth="1"/>
    <col min="11" max="11" width="9.75" style="1" customWidth="1"/>
    <col min="12" max="12" width="9.375" style="1" customWidth="1"/>
    <col min="13" max="13" width="9" style="1"/>
    <col min="14" max="14" width="12.25" style="1" customWidth="1"/>
    <col min="15" max="16" width="9" style="1"/>
    <col min="17" max="17" width="10.875" style="1" customWidth="1"/>
    <col min="18" max="18" width="7.25" style="1" customWidth="1"/>
    <col min="19" max="19" width="13.875" style="1" customWidth="1"/>
    <col min="20" max="20" width="12.625" style="1" customWidth="1"/>
    <col min="21" max="21" width="15.125" style="1" customWidth="1"/>
    <col min="22" max="22" width="7.375" style="1" customWidth="1"/>
    <col min="23" max="23" width="13.75" style="1" customWidth="1"/>
    <col min="24" max="25" width="9.5" style="1" customWidth="1"/>
    <col min="26" max="26" width="14.375" style="1" customWidth="1"/>
    <col min="27" max="27" width="5.375" style="1" customWidth="1"/>
    <col min="28" max="28" width="11.5" style="1" customWidth="1"/>
    <col min="29" max="29" width="9" style="1"/>
    <col min="30" max="30" width="7.875" style="1" customWidth="1"/>
    <col min="31" max="31" width="8.875" style="1" customWidth="1"/>
    <col min="32" max="32" width="5.375" style="1" customWidth="1"/>
    <col min="33" max="33" width="9.375" style="1" customWidth="1"/>
    <col min="34" max="34" width="8.375" style="1" customWidth="1"/>
    <col min="35" max="35" width="8" style="1" customWidth="1"/>
    <col min="36" max="36" width="7.375" style="1" customWidth="1"/>
    <col min="37" max="16384" width="9" style="1"/>
  </cols>
  <sheetData>
    <row r="1" spans="1:36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8" t="s">
        <v>20</v>
      </c>
      <c r="G1" s="9">
        <v>1</v>
      </c>
      <c r="H1" s="9">
        <v>2</v>
      </c>
      <c r="I1" s="9">
        <v>3</v>
      </c>
      <c r="J1" s="9">
        <v>4</v>
      </c>
      <c r="K1" s="9">
        <v>5</v>
      </c>
      <c r="L1" s="9">
        <v>6</v>
      </c>
      <c r="M1" s="9">
        <v>7</v>
      </c>
      <c r="N1" s="9">
        <v>8</v>
      </c>
      <c r="O1" s="9">
        <v>9</v>
      </c>
      <c r="P1" s="9">
        <v>10</v>
      </c>
      <c r="Q1" s="9">
        <v>11</v>
      </c>
      <c r="R1" s="9">
        <v>12</v>
      </c>
      <c r="S1" s="9">
        <v>13</v>
      </c>
      <c r="T1" s="9">
        <v>14</v>
      </c>
      <c r="U1" s="9">
        <v>15</v>
      </c>
      <c r="V1" s="9">
        <v>16</v>
      </c>
      <c r="W1" s="9">
        <v>17</v>
      </c>
      <c r="X1" s="9">
        <v>18</v>
      </c>
      <c r="Y1" s="9">
        <v>19</v>
      </c>
      <c r="Z1" s="9">
        <v>20</v>
      </c>
      <c r="AA1" s="9">
        <v>21</v>
      </c>
      <c r="AB1" s="9">
        <v>22</v>
      </c>
      <c r="AC1" s="9">
        <v>23</v>
      </c>
      <c r="AD1" s="9">
        <v>24</v>
      </c>
      <c r="AE1" s="9">
        <v>25</v>
      </c>
      <c r="AF1" s="9">
        <v>26</v>
      </c>
      <c r="AG1" s="9">
        <v>27</v>
      </c>
      <c r="AH1" s="9">
        <v>28</v>
      </c>
      <c r="AI1" s="9">
        <v>29</v>
      </c>
      <c r="AJ1" s="9">
        <v>30</v>
      </c>
    </row>
    <row r="2" spans="1:36">
      <c r="A2" s="4" t="s">
        <v>21</v>
      </c>
      <c r="B2" s="5">
        <v>100</v>
      </c>
      <c r="C2" s="5">
        <v>30</v>
      </c>
      <c r="D2" s="5">
        <v>70</v>
      </c>
      <c r="E2" s="5">
        <v>50</v>
      </c>
      <c r="F2" s="10">
        <v>12000</v>
      </c>
      <c r="G2" s="5" t="str">
        <f>IF(E2&gt;D2,"Buyurtma kerak","Yetarli")</f>
        <v>Yetarli</v>
      </c>
      <c r="H2" s="5" t="str">
        <f>IF(E2&gt;50,"Ko'p","Kam")</f>
        <v>Kam</v>
      </c>
      <c r="I2" s="5" t="str">
        <f>IF(F2&gt;10000,"Qimmat","Arzon")</f>
        <v>Qimmat</v>
      </c>
      <c r="J2" s="5" t="str">
        <f>IF(C2&gt;100,"Tez sotilyapti","Sekin")</f>
        <v>Sekin</v>
      </c>
      <c r="K2" s="11" t="str">
        <f>IF(B2&gt;100,"Ko'p kirim","Kam kirim")</f>
        <v>Kam kirim</v>
      </c>
      <c r="L2" s="11" t="str">
        <f>IF(D2&lt;20,"Tugayapti","Ok")</f>
        <v>Ok</v>
      </c>
      <c r="M2" s="11" t="str">
        <f>IF(F2&gt;15000,"Premium","Oddiy")</f>
        <v>Oddiy</v>
      </c>
      <c r="N2" s="11" t="str">
        <f>IF(C2&gt;50,"Yaxshi sotuv","Past")</f>
        <v>Past</v>
      </c>
      <c r="O2" s="11" t="str">
        <f>IF(D2&gt;70,"Zaxira bor","Kam")</f>
        <v>Kam</v>
      </c>
      <c r="P2" s="11" t="str">
        <f>IF(B1&gt;150,"Faol","oddiy")</f>
        <v>Faol</v>
      </c>
      <c r="Q2" s="11" t="b">
        <f>IF(AND(D2&lt;E2,C2&gt;50),"Shoshilinch")</f>
        <v>0</v>
      </c>
      <c r="R2" s="11" t="b">
        <f>IF(AND(D2&lt;30,F2&gt;10000),"Xavfli")</f>
        <v>0</v>
      </c>
      <c r="S2" s="11" t="b">
        <f>IF(AND(B2&gt;100,C2&gt;80),"Aktiv mahsulot")</f>
        <v>0</v>
      </c>
      <c r="T2" s="11" t="b">
        <f>IF(AND(D2&lt;20,C2&gt;40),"Tez tugayapti")</f>
        <v>0</v>
      </c>
      <c r="U2" s="11" t="b">
        <f>IF(AND(F2&gt;15000,D2&lt;50),"Qimmat va kam")</f>
        <v>0</v>
      </c>
      <c r="V2" s="11" t="str">
        <f>IF(AND(D2&gt;=50,D2&lt;=100),"Normal")</f>
        <v>Normal</v>
      </c>
      <c r="W2" s="11" t="b">
        <f>IF(AND(C2&gt;=100,C2&lt;=200),"O'rtacha sotuv")</f>
        <v>0</v>
      </c>
      <c r="X2" s="11" t="str">
        <f>IF(AND(F2&gt;=5000,F2&lt;=15000),"O'rta narx")</f>
        <v>O'rta narx</v>
      </c>
      <c r="Y2" s="11" t="b">
        <f>IF(AND(B2&gt;=100,D2&lt;=50),"Kam qoldi")</f>
        <v>0</v>
      </c>
      <c r="Z2" s="11" t="b">
        <f>IF(AND(C2&gt;=70,D2&lt;=40),"Tez sotilmoqda")</f>
        <v>0</v>
      </c>
      <c r="AA2" s="11" t="str">
        <f>_xlfn.IFS(D2&gt;70,"Ko'p",D2&gt;40,"O'rta",TRUE,"Kam")</f>
        <v>O'rta</v>
      </c>
      <c r="AB2" s="11" t="str">
        <f>_xlfn.IFS(F2&gt;20000,"Juda qimmat",F2&gt;10000,"O'rta",TRUE,"Arzon")</f>
        <v>O'rta</v>
      </c>
      <c r="AC2" s="11" t="str">
        <f>_xlfn.IFS(C2&gt;150,"Top",C2&gt;80,"Yaxshi",TRUE,"Past")</f>
        <v>Past</v>
      </c>
      <c r="AD2" s="11" t="str">
        <f>_xlfn.IFS(D2&gt;60,"Yetarli",D2&gt;30,"Nazorat",TRUE,"Kritik")</f>
        <v>Yetarli</v>
      </c>
      <c r="AE2" s="11" t="str">
        <f>_xlfn.IFS(F2&gt;18000,"Premium",F2&gt;10000,"O'rta",TRUE,"Kam")</f>
        <v>O'rta</v>
      </c>
      <c r="AF2" s="11" t="str">
        <f>_xlfn.IFS(B2&gt;200,"Ko'p",B2&gt;100,"O'rta",TRUE,"Kam")</f>
        <v>Kam</v>
      </c>
      <c r="AG2" s="11" t="str">
        <f>_xlfn.IFS(D2&gt;50,"OK",D2&gt;20,"Kam",TRUE,"Tugayapti")</f>
        <v>OK</v>
      </c>
      <c r="AH2" s="11" t="str">
        <f>_xlfn.IFS(C2&gt;180,"Juda tez",C2&gt;100,"Tez",TRUE,"Sekin")</f>
        <v>Sekin</v>
      </c>
      <c r="AI2" s="11" t="str">
        <f>_xlfn.IFS(F2&gt;15000,"Qimmat",F2&gt;8000,"O'rta",TRUE,"Arzon")</f>
        <v>O'rta</v>
      </c>
      <c r="AJ2" s="11" t="str">
        <f>_xlfn.IFS(D2&gt;80,"Zaxira",D2&gt;40,"Normal",TRUE,"Kam")</f>
        <v>Normal</v>
      </c>
    </row>
    <row r="3" spans="1:36">
      <c r="A3" s="4" t="s">
        <v>22</v>
      </c>
      <c r="B3" s="5">
        <v>200</v>
      </c>
      <c r="C3" s="5">
        <v>150</v>
      </c>
      <c r="D3" s="5">
        <v>50</v>
      </c>
      <c r="E3" s="5">
        <v>60</v>
      </c>
      <c r="F3" s="10">
        <v>8000</v>
      </c>
      <c r="G3" s="5" t="str">
        <f t="shared" ref="G3:G11" si="0">IF(E3&gt;D3,"Buyurtma kerak","Yetarli")</f>
        <v>Buyurtma kerak</v>
      </c>
      <c r="H3" s="5" t="str">
        <f t="shared" ref="H3:H11" si="1">IF(E3&gt;50,"Ko'p","Kam")</f>
        <v>Ko'p</v>
      </c>
      <c r="I3" s="5" t="str">
        <f t="shared" ref="I3:I11" si="2">IF(F3&gt;10000,"Qimmat","Arzon")</f>
        <v>Arzon</v>
      </c>
      <c r="J3" s="5" t="str">
        <f t="shared" ref="J3:J11" si="3">IF(C3&gt;100,"Tez sotilyapti","Sekin")</f>
        <v>Tez sotilyapti</v>
      </c>
      <c r="K3" s="11" t="str">
        <f t="shared" ref="K3:K11" si="4">IF(B3&gt;100,"Ko'p kirim","Kam kirim")</f>
        <v>Ko'p kirim</v>
      </c>
      <c r="L3" s="11" t="str">
        <f t="shared" ref="L3:L11" si="5">IF(D3&lt;20,"Tugayapti","Ok")</f>
        <v>Ok</v>
      </c>
      <c r="M3" s="11" t="str">
        <f t="shared" ref="M3:M11" si="6">IF(F3&gt;15000,"Premium","Oddiy")</f>
        <v>Oddiy</v>
      </c>
      <c r="N3" s="11" t="str">
        <f t="shared" ref="N3:N11" si="7">IF(C3&gt;50,"Yaxshi sotuv","Past")</f>
        <v>Yaxshi sotuv</v>
      </c>
      <c r="O3" s="11" t="str">
        <f t="shared" ref="O3:O11" si="8">IF(D3&gt;70,"Zaxira bor","Kam")</f>
        <v>Kam</v>
      </c>
      <c r="P3" s="11" t="str">
        <f t="shared" ref="P3:P11" si="9">IF(B2&gt;150,"Faol","oddiy")</f>
        <v>oddiy</v>
      </c>
      <c r="Q3" s="11" t="str">
        <f t="shared" ref="Q3:Q11" si="10">IF(AND(D3&lt;E3,C3&gt;50),"Shoshilinch")</f>
        <v>Shoshilinch</v>
      </c>
      <c r="R3" s="11" t="b">
        <f t="shared" ref="R3:R11" si="11">IF(AND(D3&lt;30,F3&gt;10000),"Xavfli")</f>
        <v>0</v>
      </c>
      <c r="S3" s="11" t="str">
        <f t="shared" ref="S3:S11" si="12">IF(AND(B3&gt;100,C3&gt;80),"Aktiv mahsulot")</f>
        <v>Aktiv mahsulot</v>
      </c>
      <c r="T3" s="11" t="b">
        <f t="shared" ref="T3:T11" si="13">IF(AND(D3&lt;20,C3&gt;40),"Tez tugayapti")</f>
        <v>0</v>
      </c>
      <c r="U3" s="11" t="b">
        <f t="shared" ref="U3:U11" si="14">IF(AND(F3&gt;15000,D3&lt;50),"Qimmat va kam")</f>
        <v>0</v>
      </c>
      <c r="V3" s="11" t="str">
        <f t="shared" ref="V3:V11" si="15">IF(AND(D3&gt;=50,D3&lt;=100),"Normal")</f>
        <v>Normal</v>
      </c>
      <c r="W3" s="11" t="str">
        <f t="shared" ref="W3:W11" si="16">IF(AND(C3&gt;=100,C3&lt;=200),"O'rtacha sotuv")</f>
        <v>O'rtacha sotuv</v>
      </c>
      <c r="X3" s="11" t="str">
        <f t="shared" ref="X3:X11" si="17">IF(AND(F3&gt;=5000,F3&lt;=15000),"O'rta narx")</f>
        <v>O'rta narx</v>
      </c>
      <c r="Y3" s="11" t="str">
        <f t="shared" ref="Y3:Y11" si="18">IF(AND(B3&gt;=100,D3&lt;=50),"Kam qoldi")</f>
        <v>Kam qoldi</v>
      </c>
      <c r="Z3" s="11" t="b">
        <f t="shared" ref="Z3:Z11" si="19">IF(AND(C3&gt;=70,D3&lt;=40),"Tez sotilmoqda")</f>
        <v>0</v>
      </c>
      <c r="AA3" s="11" t="str">
        <f t="shared" ref="AA3:AA11" si="20">_xlfn.IFS(D3&gt;70,"Ko'p",D3&gt;40,"O'rta",TRUE,"Kam")</f>
        <v>O'rta</v>
      </c>
      <c r="AB3" s="11" t="str">
        <f t="shared" ref="AB3:AB11" si="21">_xlfn.IFS(F3&gt;20000,"Juda qimmat",F3&gt;10000,"O'rta",TRUE,"Arzon")</f>
        <v>Arzon</v>
      </c>
      <c r="AC3" s="11" t="str">
        <f t="shared" ref="AC3:AC11" si="22">_xlfn.IFS(C3&gt;150,"Top",C3&gt;80,"Yaxshi",TRUE,"Past")</f>
        <v>Yaxshi</v>
      </c>
      <c r="AD3" s="11" t="str">
        <f t="shared" ref="AD3:AD11" si="23">_xlfn.IFS(D3&gt;60,"Yetarli",D3&gt;30,"Nazorat",TRUE,"Kritik")</f>
        <v>Nazorat</v>
      </c>
      <c r="AE3" s="11" t="str">
        <f t="shared" ref="AE3:AE11" si="24">_xlfn.IFS(F3&gt;18000,"Premium",F3&gt;10000,"O'rta",TRUE,"Kam")</f>
        <v>Kam</v>
      </c>
      <c r="AF3" s="11" t="str">
        <f t="shared" ref="AF3:AF11" si="25">_xlfn.IFS(B3&gt;200,"Ko'p",B3&gt;100,"O'rta",TRUE,"Kam")</f>
        <v>O'rta</v>
      </c>
      <c r="AG3" s="11" t="str">
        <f t="shared" ref="AG3:AG11" si="26">_xlfn.IFS(D3&gt;50,"OK",D3&gt;20,"Kam",TRUE,"Tugayapti")</f>
        <v>Kam</v>
      </c>
      <c r="AH3" s="11" t="str">
        <f t="shared" ref="AH3:AH11" si="27">_xlfn.IFS(C3&gt;180,"Juda tez",C3&gt;100,"Tez",TRUE,"Sekin")</f>
        <v>Tez</v>
      </c>
      <c r="AI3" s="11" t="str">
        <f t="shared" ref="AI3:AI11" si="28">_xlfn.IFS(F3&gt;15000,"Qimmat",F3&gt;8000,"O'rta",TRUE,"Arzon")</f>
        <v>Arzon</v>
      </c>
      <c r="AJ3" s="11" t="str">
        <f t="shared" ref="AJ3:AJ11" si="29">_xlfn.IFS(D3&gt;80,"Zaxira",D3&gt;40,"Normal",TRUE,"Kam")</f>
        <v>Normal</v>
      </c>
    </row>
    <row r="4" spans="1:36">
      <c r="A4" s="4" t="s">
        <v>23</v>
      </c>
      <c r="B4" s="5">
        <v>150</v>
      </c>
      <c r="C4" s="5">
        <v>100</v>
      </c>
      <c r="D4" s="5">
        <v>50</v>
      </c>
      <c r="E4" s="5">
        <v>40</v>
      </c>
      <c r="F4" s="10">
        <v>20000</v>
      </c>
      <c r="G4" s="5" t="str">
        <f t="shared" si="0"/>
        <v>Yetarli</v>
      </c>
      <c r="H4" s="5" t="str">
        <f t="shared" si="1"/>
        <v>Kam</v>
      </c>
      <c r="I4" s="5" t="str">
        <f t="shared" si="2"/>
        <v>Qimmat</v>
      </c>
      <c r="J4" s="5" t="str">
        <f t="shared" si="3"/>
        <v>Sekin</v>
      </c>
      <c r="K4" s="11" t="str">
        <f t="shared" si="4"/>
        <v>Ko'p kirim</v>
      </c>
      <c r="L4" s="11" t="str">
        <f t="shared" si="5"/>
        <v>Ok</v>
      </c>
      <c r="M4" s="11" t="str">
        <f t="shared" si="6"/>
        <v>Premium</v>
      </c>
      <c r="N4" s="11" t="str">
        <f t="shared" si="7"/>
        <v>Yaxshi sotuv</v>
      </c>
      <c r="O4" s="11" t="str">
        <f t="shared" si="8"/>
        <v>Kam</v>
      </c>
      <c r="P4" s="11" t="str">
        <f t="shared" si="9"/>
        <v>Faol</v>
      </c>
      <c r="Q4" s="11" t="b">
        <f t="shared" si="10"/>
        <v>0</v>
      </c>
      <c r="R4" s="11" t="b">
        <f t="shared" si="11"/>
        <v>0</v>
      </c>
      <c r="S4" s="11" t="str">
        <f t="shared" si="12"/>
        <v>Aktiv mahsulot</v>
      </c>
      <c r="T4" s="11" t="b">
        <f t="shared" si="13"/>
        <v>0</v>
      </c>
      <c r="U4" s="11" t="b">
        <f t="shared" si="14"/>
        <v>0</v>
      </c>
      <c r="V4" s="11" t="str">
        <f t="shared" si="15"/>
        <v>Normal</v>
      </c>
      <c r="W4" s="11" t="str">
        <f t="shared" si="16"/>
        <v>O'rtacha sotuv</v>
      </c>
      <c r="X4" s="11" t="b">
        <f t="shared" si="17"/>
        <v>0</v>
      </c>
      <c r="Y4" s="11" t="str">
        <f t="shared" si="18"/>
        <v>Kam qoldi</v>
      </c>
      <c r="Z4" s="11" t="b">
        <f t="shared" si="19"/>
        <v>0</v>
      </c>
      <c r="AA4" s="11" t="str">
        <f t="shared" si="20"/>
        <v>O'rta</v>
      </c>
      <c r="AB4" s="11" t="str">
        <f t="shared" si="21"/>
        <v>O'rta</v>
      </c>
      <c r="AC4" s="11" t="str">
        <f t="shared" si="22"/>
        <v>Yaxshi</v>
      </c>
      <c r="AD4" s="11" t="str">
        <f t="shared" si="23"/>
        <v>Nazorat</v>
      </c>
      <c r="AE4" s="11" t="str">
        <f t="shared" si="24"/>
        <v>Premium</v>
      </c>
      <c r="AF4" s="11" t="str">
        <f t="shared" si="25"/>
        <v>O'rta</v>
      </c>
      <c r="AG4" s="11" t="str">
        <f t="shared" si="26"/>
        <v>Kam</v>
      </c>
      <c r="AH4" s="11" t="str">
        <f t="shared" si="27"/>
        <v>Sekin</v>
      </c>
      <c r="AI4" s="11" t="str">
        <f t="shared" si="28"/>
        <v>Qimmat</v>
      </c>
      <c r="AJ4" s="11" t="str">
        <f t="shared" si="29"/>
        <v>Normal</v>
      </c>
    </row>
    <row r="5" spans="1:36">
      <c r="A5" s="4" t="s">
        <v>24</v>
      </c>
      <c r="B5" s="5">
        <v>300</v>
      </c>
      <c r="C5" s="5">
        <v>250</v>
      </c>
      <c r="D5" s="5">
        <v>50</v>
      </c>
      <c r="E5" s="5">
        <v>70</v>
      </c>
      <c r="F5" s="10">
        <v>15000</v>
      </c>
      <c r="G5" s="5" t="str">
        <f t="shared" si="0"/>
        <v>Buyurtma kerak</v>
      </c>
      <c r="H5" s="5" t="str">
        <f t="shared" si="1"/>
        <v>Ko'p</v>
      </c>
      <c r="I5" s="5" t="str">
        <f t="shared" si="2"/>
        <v>Qimmat</v>
      </c>
      <c r="J5" s="5" t="str">
        <f t="shared" si="3"/>
        <v>Tez sotilyapti</v>
      </c>
      <c r="K5" s="11" t="str">
        <f t="shared" si="4"/>
        <v>Ko'p kirim</v>
      </c>
      <c r="L5" s="11" t="str">
        <f t="shared" si="5"/>
        <v>Ok</v>
      </c>
      <c r="M5" s="11" t="str">
        <f t="shared" si="6"/>
        <v>Oddiy</v>
      </c>
      <c r="N5" s="11" t="str">
        <f t="shared" si="7"/>
        <v>Yaxshi sotuv</v>
      </c>
      <c r="O5" s="11" t="str">
        <f t="shared" si="8"/>
        <v>Kam</v>
      </c>
      <c r="P5" s="11" t="str">
        <f t="shared" si="9"/>
        <v>oddiy</v>
      </c>
      <c r="Q5" s="11" t="str">
        <f t="shared" si="10"/>
        <v>Shoshilinch</v>
      </c>
      <c r="R5" s="11" t="b">
        <f t="shared" si="11"/>
        <v>0</v>
      </c>
      <c r="S5" s="11" t="str">
        <f t="shared" si="12"/>
        <v>Aktiv mahsulot</v>
      </c>
      <c r="T5" s="11" t="b">
        <f t="shared" si="13"/>
        <v>0</v>
      </c>
      <c r="U5" s="11" t="b">
        <f t="shared" si="14"/>
        <v>0</v>
      </c>
      <c r="V5" s="11" t="str">
        <f t="shared" si="15"/>
        <v>Normal</v>
      </c>
      <c r="W5" s="11" t="b">
        <f t="shared" si="16"/>
        <v>0</v>
      </c>
      <c r="X5" s="11" t="str">
        <f t="shared" si="17"/>
        <v>O'rta narx</v>
      </c>
      <c r="Y5" s="11" t="str">
        <f t="shared" si="18"/>
        <v>Kam qoldi</v>
      </c>
      <c r="Z5" s="11" t="b">
        <f t="shared" si="19"/>
        <v>0</v>
      </c>
      <c r="AA5" s="11" t="str">
        <f t="shared" si="20"/>
        <v>O'rta</v>
      </c>
      <c r="AB5" s="11" t="str">
        <f t="shared" si="21"/>
        <v>O'rta</v>
      </c>
      <c r="AC5" s="11" t="str">
        <f t="shared" si="22"/>
        <v>Top</v>
      </c>
      <c r="AD5" s="11" t="str">
        <f t="shared" si="23"/>
        <v>Nazorat</v>
      </c>
      <c r="AE5" s="11" t="str">
        <f t="shared" si="24"/>
        <v>O'rta</v>
      </c>
      <c r="AF5" s="11" t="str">
        <f t="shared" si="25"/>
        <v>Ko'p</v>
      </c>
      <c r="AG5" s="11" t="str">
        <f t="shared" si="26"/>
        <v>Kam</v>
      </c>
      <c r="AH5" s="11" t="str">
        <f t="shared" si="27"/>
        <v>Juda tez</v>
      </c>
      <c r="AI5" s="11" t="str">
        <f t="shared" si="28"/>
        <v>O'rta</v>
      </c>
      <c r="AJ5" s="11" t="str">
        <f t="shared" si="29"/>
        <v>Normal</v>
      </c>
    </row>
    <row r="6" spans="1:36">
      <c r="A6" s="4" t="s">
        <v>25</v>
      </c>
      <c r="B6" s="5">
        <v>80</v>
      </c>
      <c r="C6" s="5">
        <v>20</v>
      </c>
      <c r="D6" s="5">
        <v>60</v>
      </c>
      <c r="E6" s="5">
        <v>30</v>
      </c>
      <c r="F6" s="10">
        <v>25000</v>
      </c>
      <c r="G6" s="5" t="str">
        <f t="shared" si="0"/>
        <v>Yetarli</v>
      </c>
      <c r="H6" s="5" t="str">
        <f t="shared" si="1"/>
        <v>Kam</v>
      </c>
      <c r="I6" s="5" t="str">
        <f t="shared" si="2"/>
        <v>Qimmat</v>
      </c>
      <c r="J6" s="5" t="str">
        <f t="shared" si="3"/>
        <v>Sekin</v>
      </c>
      <c r="K6" s="11" t="str">
        <f t="shared" si="4"/>
        <v>Kam kirim</v>
      </c>
      <c r="L6" s="11" t="str">
        <f t="shared" si="5"/>
        <v>Ok</v>
      </c>
      <c r="M6" s="11" t="str">
        <f t="shared" si="6"/>
        <v>Premium</v>
      </c>
      <c r="N6" s="11" t="str">
        <f t="shared" si="7"/>
        <v>Past</v>
      </c>
      <c r="O6" s="11" t="str">
        <f t="shared" si="8"/>
        <v>Kam</v>
      </c>
      <c r="P6" s="11" t="str">
        <f t="shared" si="9"/>
        <v>Faol</v>
      </c>
      <c r="Q6" s="11" t="b">
        <f t="shared" si="10"/>
        <v>0</v>
      </c>
      <c r="R6" s="11" t="b">
        <f t="shared" si="11"/>
        <v>0</v>
      </c>
      <c r="S6" s="11" t="b">
        <f t="shared" si="12"/>
        <v>0</v>
      </c>
      <c r="T6" s="11" t="b">
        <f t="shared" si="13"/>
        <v>0</v>
      </c>
      <c r="U6" s="11" t="b">
        <f t="shared" si="14"/>
        <v>0</v>
      </c>
      <c r="V6" s="11" t="str">
        <f t="shared" si="15"/>
        <v>Normal</v>
      </c>
      <c r="W6" s="11" t="b">
        <f t="shared" si="16"/>
        <v>0</v>
      </c>
      <c r="X6" s="11" t="b">
        <f t="shared" si="17"/>
        <v>0</v>
      </c>
      <c r="Y6" s="11" t="b">
        <f t="shared" si="18"/>
        <v>0</v>
      </c>
      <c r="Z6" s="11" t="b">
        <f t="shared" si="19"/>
        <v>0</v>
      </c>
      <c r="AA6" s="11" t="str">
        <f t="shared" si="20"/>
        <v>O'rta</v>
      </c>
      <c r="AB6" s="11" t="str">
        <f t="shared" si="21"/>
        <v>Juda qimmat</v>
      </c>
      <c r="AC6" s="11" t="str">
        <f t="shared" si="22"/>
        <v>Past</v>
      </c>
      <c r="AD6" s="11" t="str">
        <f t="shared" si="23"/>
        <v>Nazorat</v>
      </c>
      <c r="AE6" s="11" t="str">
        <f t="shared" si="24"/>
        <v>Premium</v>
      </c>
      <c r="AF6" s="11" t="str">
        <f t="shared" si="25"/>
        <v>Kam</v>
      </c>
      <c r="AG6" s="11" t="str">
        <f t="shared" si="26"/>
        <v>OK</v>
      </c>
      <c r="AH6" s="11" t="str">
        <f t="shared" si="27"/>
        <v>Sekin</v>
      </c>
      <c r="AI6" s="11" t="str">
        <f t="shared" si="28"/>
        <v>Qimmat</v>
      </c>
      <c r="AJ6" s="11" t="str">
        <f t="shared" si="29"/>
        <v>Normal</v>
      </c>
    </row>
    <row r="7" spans="1:36">
      <c r="A7" s="4" t="s">
        <v>26</v>
      </c>
      <c r="B7" s="5">
        <v>120</v>
      </c>
      <c r="C7" s="5">
        <v>100</v>
      </c>
      <c r="D7" s="5">
        <v>20</v>
      </c>
      <c r="E7" s="5">
        <v>40</v>
      </c>
      <c r="F7" s="10">
        <v>5000</v>
      </c>
      <c r="G7" s="5" t="str">
        <f t="shared" si="0"/>
        <v>Buyurtma kerak</v>
      </c>
      <c r="H7" s="5" t="str">
        <f t="shared" si="1"/>
        <v>Kam</v>
      </c>
      <c r="I7" s="5" t="str">
        <f t="shared" si="2"/>
        <v>Arzon</v>
      </c>
      <c r="J7" s="5" t="str">
        <f t="shared" si="3"/>
        <v>Sekin</v>
      </c>
      <c r="K7" s="11" t="str">
        <f t="shared" si="4"/>
        <v>Ko'p kirim</v>
      </c>
      <c r="L7" s="11" t="str">
        <f t="shared" si="5"/>
        <v>Ok</v>
      </c>
      <c r="M7" s="11" t="str">
        <f t="shared" si="6"/>
        <v>Oddiy</v>
      </c>
      <c r="N7" s="11" t="str">
        <f t="shared" si="7"/>
        <v>Yaxshi sotuv</v>
      </c>
      <c r="O7" s="11" t="str">
        <f t="shared" si="8"/>
        <v>Kam</v>
      </c>
      <c r="P7" s="11" t="str">
        <f t="shared" si="9"/>
        <v>oddiy</v>
      </c>
      <c r="Q7" s="11" t="str">
        <f t="shared" si="10"/>
        <v>Shoshilinch</v>
      </c>
      <c r="R7" s="11" t="b">
        <f t="shared" si="11"/>
        <v>0</v>
      </c>
      <c r="S7" s="11" t="str">
        <f t="shared" si="12"/>
        <v>Aktiv mahsulot</v>
      </c>
      <c r="T7" s="11" t="b">
        <f t="shared" si="13"/>
        <v>0</v>
      </c>
      <c r="U7" s="11" t="b">
        <f t="shared" si="14"/>
        <v>0</v>
      </c>
      <c r="V7" s="11" t="b">
        <f t="shared" si="15"/>
        <v>0</v>
      </c>
      <c r="W7" s="11" t="str">
        <f t="shared" si="16"/>
        <v>O'rtacha sotuv</v>
      </c>
      <c r="X7" s="11" t="str">
        <f t="shared" si="17"/>
        <v>O'rta narx</v>
      </c>
      <c r="Y7" s="11" t="str">
        <f t="shared" si="18"/>
        <v>Kam qoldi</v>
      </c>
      <c r="Z7" s="11" t="str">
        <f t="shared" si="19"/>
        <v>Tez sotilmoqda</v>
      </c>
      <c r="AA7" s="11" t="str">
        <f t="shared" si="20"/>
        <v>Kam</v>
      </c>
      <c r="AB7" s="11" t="str">
        <f t="shared" si="21"/>
        <v>Arzon</v>
      </c>
      <c r="AC7" s="11" t="str">
        <f t="shared" si="22"/>
        <v>Yaxshi</v>
      </c>
      <c r="AD7" s="11" t="str">
        <f t="shared" si="23"/>
        <v>Kritik</v>
      </c>
      <c r="AE7" s="11" t="str">
        <f t="shared" si="24"/>
        <v>Kam</v>
      </c>
      <c r="AF7" s="11" t="str">
        <f t="shared" si="25"/>
        <v>O'rta</v>
      </c>
      <c r="AG7" s="11" t="str">
        <f t="shared" si="26"/>
        <v>Tugayapti</v>
      </c>
      <c r="AH7" s="11" t="str">
        <f t="shared" si="27"/>
        <v>Sekin</v>
      </c>
      <c r="AI7" s="11" t="str">
        <f t="shared" si="28"/>
        <v>Arzon</v>
      </c>
      <c r="AJ7" s="11" t="str">
        <f t="shared" si="29"/>
        <v>Kam</v>
      </c>
    </row>
    <row r="8" spans="1:36">
      <c r="A8" s="4" t="s">
        <v>27</v>
      </c>
      <c r="B8" s="5">
        <v>90</v>
      </c>
      <c r="C8" s="5">
        <v>40</v>
      </c>
      <c r="D8" s="5">
        <v>50</v>
      </c>
      <c r="E8" s="5">
        <v>30</v>
      </c>
      <c r="F8" s="10">
        <v>7000</v>
      </c>
      <c r="G8" s="5" t="str">
        <f t="shared" si="0"/>
        <v>Yetarli</v>
      </c>
      <c r="H8" s="5" t="str">
        <f t="shared" si="1"/>
        <v>Kam</v>
      </c>
      <c r="I8" s="5" t="str">
        <f t="shared" si="2"/>
        <v>Arzon</v>
      </c>
      <c r="J8" s="5" t="str">
        <f t="shared" si="3"/>
        <v>Sekin</v>
      </c>
      <c r="K8" s="11" t="str">
        <f t="shared" si="4"/>
        <v>Kam kirim</v>
      </c>
      <c r="L8" s="11" t="str">
        <f t="shared" si="5"/>
        <v>Ok</v>
      </c>
      <c r="M8" s="11" t="str">
        <f t="shared" si="6"/>
        <v>Oddiy</v>
      </c>
      <c r="N8" s="11" t="str">
        <f t="shared" si="7"/>
        <v>Past</v>
      </c>
      <c r="O8" s="11" t="str">
        <f t="shared" si="8"/>
        <v>Kam</v>
      </c>
      <c r="P8" s="11" t="str">
        <f t="shared" si="9"/>
        <v>oddiy</v>
      </c>
      <c r="Q8" s="11" t="b">
        <f t="shared" si="10"/>
        <v>0</v>
      </c>
      <c r="R8" s="11" t="b">
        <f t="shared" si="11"/>
        <v>0</v>
      </c>
      <c r="S8" s="11" t="b">
        <f t="shared" si="12"/>
        <v>0</v>
      </c>
      <c r="T8" s="11" t="b">
        <f t="shared" si="13"/>
        <v>0</v>
      </c>
      <c r="U8" s="11" t="b">
        <f t="shared" si="14"/>
        <v>0</v>
      </c>
      <c r="V8" s="11" t="str">
        <f t="shared" si="15"/>
        <v>Normal</v>
      </c>
      <c r="W8" s="11" t="b">
        <f t="shared" si="16"/>
        <v>0</v>
      </c>
      <c r="X8" s="11" t="str">
        <f t="shared" si="17"/>
        <v>O'rta narx</v>
      </c>
      <c r="Y8" s="11" t="b">
        <f t="shared" si="18"/>
        <v>0</v>
      </c>
      <c r="Z8" s="11" t="b">
        <f t="shared" si="19"/>
        <v>0</v>
      </c>
      <c r="AA8" s="11" t="str">
        <f t="shared" si="20"/>
        <v>O'rta</v>
      </c>
      <c r="AB8" s="11" t="str">
        <f t="shared" si="21"/>
        <v>Arzon</v>
      </c>
      <c r="AC8" s="11" t="str">
        <f t="shared" si="22"/>
        <v>Past</v>
      </c>
      <c r="AD8" s="11" t="str">
        <f t="shared" si="23"/>
        <v>Nazorat</v>
      </c>
      <c r="AE8" s="11" t="str">
        <f t="shared" si="24"/>
        <v>Kam</v>
      </c>
      <c r="AF8" s="11" t="str">
        <f t="shared" si="25"/>
        <v>Kam</v>
      </c>
      <c r="AG8" s="11" t="str">
        <f t="shared" si="26"/>
        <v>Kam</v>
      </c>
      <c r="AH8" s="11" t="str">
        <f t="shared" si="27"/>
        <v>Sekin</v>
      </c>
      <c r="AI8" s="11" t="str">
        <f t="shared" si="28"/>
        <v>Arzon</v>
      </c>
      <c r="AJ8" s="11" t="str">
        <f t="shared" si="29"/>
        <v>Normal</v>
      </c>
    </row>
    <row r="9" spans="1:36">
      <c r="A9" s="4" t="s">
        <v>28</v>
      </c>
      <c r="B9" s="5">
        <v>60</v>
      </c>
      <c r="C9" s="5">
        <v>50</v>
      </c>
      <c r="D9" s="5">
        <v>10</v>
      </c>
      <c r="E9" s="5">
        <v>20</v>
      </c>
      <c r="F9" s="10">
        <v>9000</v>
      </c>
      <c r="G9" s="5" t="str">
        <f t="shared" si="0"/>
        <v>Buyurtma kerak</v>
      </c>
      <c r="H9" s="5" t="str">
        <f t="shared" si="1"/>
        <v>Kam</v>
      </c>
      <c r="I9" s="5" t="str">
        <f t="shared" si="2"/>
        <v>Arzon</v>
      </c>
      <c r="J9" s="5" t="str">
        <f t="shared" si="3"/>
        <v>Sekin</v>
      </c>
      <c r="K9" s="11" t="str">
        <f t="shared" si="4"/>
        <v>Kam kirim</v>
      </c>
      <c r="L9" s="11" t="str">
        <f t="shared" si="5"/>
        <v>Tugayapti</v>
      </c>
      <c r="M9" s="11" t="str">
        <f t="shared" si="6"/>
        <v>Oddiy</v>
      </c>
      <c r="N9" s="11" t="str">
        <f t="shared" si="7"/>
        <v>Past</v>
      </c>
      <c r="O9" s="11" t="str">
        <f t="shared" si="8"/>
        <v>Kam</v>
      </c>
      <c r="P9" s="11" t="str">
        <f t="shared" si="9"/>
        <v>oddiy</v>
      </c>
      <c r="Q9" s="11" t="b">
        <f t="shared" si="10"/>
        <v>0</v>
      </c>
      <c r="R9" s="11" t="b">
        <f t="shared" si="11"/>
        <v>0</v>
      </c>
      <c r="S9" s="11" t="b">
        <f t="shared" si="12"/>
        <v>0</v>
      </c>
      <c r="T9" s="11" t="str">
        <f t="shared" si="13"/>
        <v>Tez tugayapti</v>
      </c>
      <c r="U9" s="11" t="b">
        <f t="shared" si="14"/>
        <v>0</v>
      </c>
      <c r="V9" s="11" t="b">
        <f t="shared" si="15"/>
        <v>0</v>
      </c>
      <c r="W9" s="11" t="b">
        <f t="shared" si="16"/>
        <v>0</v>
      </c>
      <c r="X9" s="11" t="str">
        <f t="shared" si="17"/>
        <v>O'rta narx</v>
      </c>
      <c r="Y9" s="11" t="b">
        <f t="shared" si="18"/>
        <v>0</v>
      </c>
      <c r="Z9" s="11" t="b">
        <f t="shared" si="19"/>
        <v>0</v>
      </c>
      <c r="AA9" s="11" t="str">
        <f t="shared" si="20"/>
        <v>Kam</v>
      </c>
      <c r="AB9" s="11" t="str">
        <f t="shared" si="21"/>
        <v>Arzon</v>
      </c>
      <c r="AC9" s="11" t="str">
        <f t="shared" si="22"/>
        <v>Past</v>
      </c>
      <c r="AD9" s="11" t="str">
        <f t="shared" si="23"/>
        <v>Kritik</v>
      </c>
      <c r="AE9" s="11" t="str">
        <f t="shared" si="24"/>
        <v>Kam</v>
      </c>
      <c r="AF9" s="11" t="str">
        <f t="shared" si="25"/>
        <v>Kam</v>
      </c>
      <c r="AG9" s="11" t="str">
        <f t="shared" si="26"/>
        <v>Tugayapti</v>
      </c>
      <c r="AH9" s="11" t="str">
        <f t="shared" si="27"/>
        <v>Sekin</v>
      </c>
      <c r="AI9" s="11" t="str">
        <f t="shared" si="28"/>
        <v>O'rta</v>
      </c>
      <c r="AJ9" s="11" t="str">
        <f t="shared" si="29"/>
        <v>Kam</v>
      </c>
    </row>
    <row r="10" spans="1:36">
      <c r="A10" s="4" t="s">
        <v>29</v>
      </c>
      <c r="B10" s="5">
        <v>110</v>
      </c>
      <c r="C10" s="5">
        <v>70</v>
      </c>
      <c r="D10" s="5">
        <v>40</v>
      </c>
      <c r="E10" s="5">
        <v>50</v>
      </c>
      <c r="F10" s="10">
        <v>14000</v>
      </c>
      <c r="G10" s="5" t="str">
        <f t="shared" si="0"/>
        <v>Buyurtma kerak</v>
      </c>
      <c r="H10" s="5" t="str">
        <f t="shared" si="1"/>
        <v>Kam</v>
      </c>
      <c r="I10" s="5" t="str">
        <f t="shared" si="2"/>
        <v>Qimmat</v>
      </c>
      <c r="J10" s="5" t="str">
        <f t="shared" si="3"/>
        <v>Sekin</v>
      </c>
      <c r="K10" s="11" t="str">
        <f t="shared" si="4"/>
        <v>Ko'p kirim</v>
      </c>
      <c r="L10" s="11" t="str">
        <f t="shared" si="5"/>
        <v>Ok</v>
      </c>
      <c r="M10" s="11" t="str">
        <f t="shared" si="6"/>
        <v>Oddiy</v>
      </c>
      <c r="N10" s="11" t="str">
        <f t="shared" si="7"/>
        <v>Yaxshi sotuv</v>
      </c>
      <c r="O10" s="11" t="str">
        <f t="shared" si="8"/>
        <v>Kam</v>
      </c>
      <c r="P10" s="11" t="str">
        <f t="shared" si="9"/>
        <v>oddiy</v>
      </c>
      <c r="Q10" s="11" t="str">
        <f t="shared" si="10"/>
        <v>Shoshilinch</v>
      </c>
      <c r="R10" s="11" t="b">
        <f t="shared" si="11"/>
        <v>0</v>
      </c>
      <c r="S10" s="11" t="b">
        <f t="shared" si="12"/>
        <v>0</v>
      </c>
      <c r="T10" s="11" t="b">
        <f t="shared" si="13"/>
        <v>0</v>
      </c>
      <c r="U10" s="11" t="b">
        <f t="shared" si="14"/>
        <v>0</v>
      </c>
      <c r="V10" s="11" t="b">
        <f t="shared" si="15"/>
        <v>0</v>
      </c>
      <c r="W10" s="11" t="b">
        <f t="shared" si="16"/>
        <v>0</v>
      </c>
      <c r="X10" s="11" t="str">
        <f t="shared" si="17"/>
        <v>O'rta narx</v>
      </c>
      <c r="Y10" s="11" t="str">
        <f t="shared" si="18"/>
        <v>Kam qoldi</v>
      </c>
      <c r="Z10" s="11" t="str">
        <f t="shared" si="19"/>
        <v>Tez sotilmoqda</v>
      </c>
      <c r="AA10" s="11" t="str">
        <f t="shared" si="20"/>
        <v>Kam</v>
      </c>
      <c r="AB10" s="11" t="str">
        <f t="shared" si="21"/>
        <v>O'rta</v>
      </c>
      <c r="AC10" s="11" t="str">
        <f t="shared" si="22"/>
        <v>Past</v>
      </c>
      <c r="AD10" s="11" t="str">
        <f t="shared" si="23"/>
        <v>Nazorat</v>
      </c>
      <c r="AE10" s="11" t="str">
        <f t="shared" si="24"/>
        <v>O'rta</v>
      </c>
      <c r="AF10" s="11" t="str">
        <f t="shared" si="25"/>
        <v>O'rta</v>
      </c>
      <c r="AG10" s="11" t="str">
        <f t="shared" si="26"/>
        <v>Kam</v>
      </c>
      <c r="AH10" s="11" t="str">
        <f t="shared" si="27"/>
        <v>Sekin</v>
      </c>
      <c r="AI10" s="11" t="str">
        <f t="shared" si="28"/>
        <v>O'rta</v>
      </c>
      <c r="AJ10" s="11" t="str">
        <f t="shared" si="29"/>
        <v>Kam</v>
      </c>
    </row>
    <row r="11" spans="1:36">
      <c r="A11" s="4" t="s">
        <v>30</v>
      </c>
      <c r="B11" s="5">
        <v>200</v>
      </c>
      <c r="C11" s="5">
        <v>180</v>
      </c>
      <c r="D11" s="5">
        <v>20</v>
      </c>
      <c r="E11" s="5">
        <v>60</v>
      </c>
      <c r="F11" s="10">
        <v>18000</v>
      </c>
      <c r="G11" s="5" t="str">
        <f t="shared" si="0"/>
        <v>Buyurtma kerak</v>
      </c>
      <c r="H11" s="5" t="str">
        <f t="shared" si="1"/>
        <v>Ko'p</v>
      </c>
      <c r="I11" s="5" t="str">
        <f t="shared" si="2"/>
        <v>Qimmat</v>
      </c>
      <c r="J11" s="5" t="str">
        <f t="shared" si="3"/>
        <v>Tez sotilyapti</v>
      </c>
      <c r="K11" s="11" t="str">
        <f t="shared" si="4"/>
        <v>Ko'p kirim</v>
      </c>
      <c r="L11" s="11" t="str">
        <f t="shared" si="5"/>
        <v>Ok</v>
      </c>
      <c r="M11" s="11" t="str">
        <f t="shared" si="6"/>
        <v>Premium</v>
      </c>
      <c r="N11" s="11" t="str">
        <f t="shared" si="7"/>
        <v>Yaxshi sotuv</v>
      </c>
      <c r="O11" s="11" t="str">
        <f t="shared" si="8"/>
        <v>Kam</v>
      </c>
      <c r="P11" s="11" t="str">
        <f t="shared" si="9"/>
        <v>oddiy</v>
      </c>
      <c r="Q11" s="11" t="str">
        <f t="shared" si="10"/>
        <v>Shoshilinch</v>
      </c>
      <c r="R11" s="11" t="str">
        <f t="shared" si="11"/>
        <v>Xavfli</v>
      </c>
      <c r="S11" s="11" t="str">
        <f t="shared" si="12"/>
        <v>Aktiv mahsulot</v>
      </c>
      <c r="T11" s="11" t="b">
        <f t="shared" si="13"/>
        <v>0</v>
      </c>
      <c r="U11" s="11" t="str">
        <f t="shared" si="14"/>
        <v>Qimmat va kam</v>
      </c>
      <c r="V11" s="11" t="b">
        <f t="shared" si="15"/>
        <v>0</v>
      </c>
      <c r="W11" s="11" t="str">
        <f t="shared" si="16"/>
        <v>O'rtacha sotuv</v>
      </c>
      <c r="X11" s="11" t="b">
        <f t="shared" si="17"/>
        <v>0</v>
      </c>
      <c r="Y11" s="11" t="str">
        <f t="shared" si="18"/>
        <v>Kam qoldi</v>
      </c>
      <c r="Z11" s="11" t="str">
        <f t="shared" si="19"/>
        <v>Tez sotilmoqda</v>
      </c>
      <c r="AA11" s="11" t="str">
        <f t="shared" si="20"/>
        <v>Kam</v>
      </c>
      <c r="AB11" s="11" t="str">
        <f t="shared" si="21"/>
        <v>O'rta</v>
      </c>
      <c r="AC11" s="11" t="str">
        <f t="shared" si="22"/>
        <v>Top</v>
      </c>
      <c r="AD11" s="11" t="str">
        <f t="shared" si="23"/>
        <v>Kritik</v>
      </c>
      <c r="AE11" s="11" t="str">
        <f t="shared" si="24"/>
        <v>O'rta</v>
      </c>
      <c r="AF11" s="11" t="str">
        <f t="shared" si="25"/>
        <v>O'rta</v>
      </c>
      <c r="AG11" s="11" t="str">
        <f t="shared" si="26"/>
        <v>Tugayapti</v>
      </c>
      <c r="AH11" s="11" t="str">
        <f t="shared" si="27"/>
        <v>Tez</v>
      </c>
      <c r="AI11" s="11" t="str">
        <f t="shared" si="28"/>
        <v>Qimmat</v>
      </c>
      <c r="AJ11" s="11" t="str">
        <f t="shared" si="29"/>
        <v>Kam</v>
      </c>
    </row>
    <row r="12" spans="1:36">
      <c r="A12" s="5" t="s">
        <v>31</v>
      </c>
      <c r="B12" s="6"/>
      <c r="C12" s="7"/>
      <c r="D12" s="7"/>
      <c r="E12" s="7"/>
      <c r="F12" s="7"/>
      <c r="G12" s="6"/>
      <c r="H12" s="6"/>
      <c r="I12" s="6"/>
      <c r="J12" s="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</row>
    <row r="13" spans="1:36">
      <c r="A13" s="5" t="s">
        <v>32</v>
      </c>
      <c r="B13" s="6"/>
      <c r="C13" s="7"/>
      <c r="D13" s="7"/>
      <c r="E13" s="7"/>
      <c r="F13" s="7"/>
      <c r="G13" s="6"/>
      <c r="H13" s="6"/>
      <c r="I13" s="6"/>
      <c r="J13" s="6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</row>
    <row r="14" spans="1:10">
      <c r="A14" s="5" t="s">
        <v>33</v>
      </c>
      <c r="B14" s="6"/>
      <c r="C14" s="7"/>
      <c r="D14" s="7"/>
      <c r="E14" s="7"/>
      <c r="F14" s="7"/>
      <c r="G14" s="7"/>
      <c r="H14" s="7"/>
      <c r="I14" s="7"/>
      <c r="J14" s="6"/>
    </row>
    <row r="15" spans="1:10">
      <c r="A15" s="5" t="s">
        <v>34</v>
      </c>
      <c r="B15" s="6"/>
      <c r="C15" s="7"/>
      <c r="D15" s="7"/>
      <c r="E15" s="7"/>
      <c r="F15" s="7"/>
      <c r="G15" s="7"/>
      <c r="H15" s="7"/>
      <c r="I15" s="7"/>
      <c r="J15" s="6"/>
    </row>
    <row r="16" spans="1:10">
      <c r="A16" s="5" t="s">
        <v>35</v>
      </c>
      <c r="B16" s="6"/>
      <c r="C16" s="7"/>
      <c r="D16" s="7"/>
      <c r="E16" s="7"/>
      <c r="F16" s="7"/>
      <c r="G16" s="7"/>
      <c r="H16" s="7"/>
      <c r="I16" s="7"/>
      <c r="J16" s="6"/>
    </row>
    <row r="17" spans="1:10">
      <c r="A17" s="5" t="s">
        <v>36</v>
      </c>
      <c r="B17" s="6"/>
      <c r="C17" s="7"/>
      <c r="D17" s="7"/>
      <c r="E17" s="7"/>
      <c r="F17" s="7"/>
      <c r="G17" s="7"/>
      <c r="H17" s="7"/>
      <c r="I17" s="7"/>
      <c r="J17" s="6"/>
    </row>
    <row r="18" spans="1:10">
      <c r="A18" s="5" t="s">
        <v>37</v>
      </c>
      <c r="B18" s="6"/>
      <c r="C18" s="7"/>
      <c r="D18" s="7"/>
      <c r="E18" s="7"/>
      <c r="F18" s="7"/>
      <c r="G18" s="7"/>
      <c r="H18" s="7"/>
      <c r="I18" s="7"/>
      <c r="J18" s="6"/>
    </row>
    <row r="19" spans="1:10">
      <c r="A19" s="5" t="s">
        <v>38</v>
      </c>
      <c r="B19" s="6"/>
      <c r="C19" s="7"/>
      <c r="D19" s="7"/>
      <c r="E19" s="7"/>
      <c r="F19" s="7"/>
      <c r="G19" s="7"/>
      <c r="H19" s="7"/>
      <c r="I19" s="7"/>
      <c r="J19" s="6"/>
    </row>
    <row r="20" spans="1:10">
      <c r="A20" s="5" t="s">
        <v>39</v>
      </c>
      <c r="B20" s="6"/>
      <c r="C20" s="7"/>
      <c r="D20" s="7"/>
      <c r="E20" s="7"/>
      <c r="F20" s="7"/>
      <c r="G20" s="7"/>
      <c r="H20" s="7"/>
      <c r="I20" s="7"/>
      <c r="J20" s="6"/>
    </row>
    <row r="21" spans="1:10">
      <c r="A21" s="5" t="s">
        <v>40</v>
      </c>
      <c r="B21" s="6"/>
      <c r="C21" s="7"/>
      <c r="D21" s="7"/>
      <c r="E21" s="7"/>
      <c r="F21" s="7"/>
      <c r="G21" s="7"/>
      <c r="H21" s="7"/>
      <c r="I21" s="7"/>
      <c r="J21" s="6"/>
    </row>
    <row r="22" spans="1:10">
      <c r="A22" s="5"/>
      <c r="B22" s="6"/>
      <c r="C22" s="7"/>
      <c r="D22" s="7"/>
      <c r="E22" s="7"/>
      <c r="F22" s="7"/>
      <c r="G22" s="7"/>
      <c r="H22" s="7"/>
      <c r="I22" s="7"/>
      <c r="J22" s="6"/>
    </row>
    <row r="23" spans="1:10">
      <c r="A23" s="5" t="s">
        <v>41</v>
      </c>
      <c r="B23" s="6"/>
      <c r="C23" s="7"/>
      <c r="D23" s="7"/>
      <c r="E23" s="7"/>
      <c r="F23" s="7"/>
      <c r="G23" s="7"/>
      <c r="H23" s="7"/>
      <c r="I23" s="7"/>
      <c r="J23" s="6"/>
    </row>
    <row r="24" spans="1:10">
      <c r="A24" s="5" t="s">
        <v>42</v>
      </c>
      <c r="B24" s="6"/>
      <c r="C24" s="7"/>
      <c r="D24" s="7"/>
      <c r="E24" s="7"/>
      <c r="F24" s="7"/>
      <c r="G24" s="7"/>
      <c r="H24" s="7"/>
      <c r="I24" s="7"/>
      <c r="J24" s="6"/>
    </row>
    <row r="25" spans="1:10">
      <c r="A25" s="5" t="s">
        <v>43</v>
      </c>
      <c r="B25" s="6"/>
      <c r="C25" s="7"/>
      <c r="D25" s="7"/>
      <c r="E25" s="7"/>
      <c r="F25" s="7"/>
      <c r="G25" s="7"/>
      <c r="H25" s="7"/>
      <c r="I25" s="7"/>
      <c r="J25" s="6"/>
    </row>
    <row r="26" spans="1:10">
      <c r="A26" s="5" t="s">
        <v>44</v>
      </c>
      <c r="B26" s="6"/>
      <c r="C26" s="7"/>
      <c r="D26" s="7"/>
      <c r="E26" s="7"/>
      <c r="F26" s="7"/>
      <c r="G26" s="7"/>
      <c r="H26" s="7"/>
      <c r="I26" s="7"/>
      <c r="J26" s="6"/>
    </row>
    <row r="27" spans="1:10">
      <c r="A27" s="5" t="s">
        <v>45</v>
      </c>
      <c r="B27" s="6"/>
      <c r="C27" s="7"/>
      <c r="D27" s="7"/>
      <c r="E27" s="7"/>
      <c r="F27" s="7"/>
      <c r="G27" s="7"/>
      <c r="H27" s="7"/>
      <c r="I27" s="7"/>
      <c r="J27" s="6"/>
    </row>
    <row r="28" spans="1:10">
      <c r="A28" s="5" t="s">
        <v>46</v>
      </c>
      <c r="B28" s="6"/>
      <c r="C28" s="7"/>
      <c r="D28" s="7"/>
      <c r="E28" s="7"/>
      <c r="F28" s="7"/>
      <c r="G28" s="7"/>
      <c r="H28" s="7"/>
      <c r="I28" s="7"/>
      <c r="J28" s="6"/>
    </row>
    <row r="29" spans="1:10">
      <c r="A29" s="5" t="s">
        <v>47</v>
      </c>
      <c r="B29" s="6"/>
      <c r="C29" s="7"/>
      <c r="D29" s="7"/>
      <c r="E29" s="7"/>
      <c r="F29" s="7"/>
      <c r="G29" s="7"/>
      <c r="H29" s="7"/>
      <c r="I29" s="7"/>
      <c r="J29" s="6"/>
    </row>
    <row r="30" spans="1:10">
      <c r="A30" s="5" t="s">
        <v>48</v>
      </c>
      <c r="B30" s="6"/>
      <c r="C30" s="7"/>
      <c r="D30" s="7"/>
      <c r="E30" s="7"/>
      <c r="F30" s="7"/>
      <c r="G30" s="7"/>
      <c r="H30" s="7"/>
      <c r="I30" s="7"/>
      <c r="J30" s="6"/>
    </row>
    <row r="31" spans="1:10">
      <c r="A31" s="5" t="s">
        <v>49</v>
      </c>
      <c r="B31" s="6"/>
      <c r="C31" s="7"/>
      <c r="D31" s="7"/>
      <c r="E31" s="7"/>
      <c r="F31" s="7"/>
      <c r="G31" s="7"/>
      <c r="H31" s="7"/>
      <c r="I31" s="7"/>
      <c r="J31" s="6"/>
    </row>
    <row r="32" spans="1:10">
      <c r="A32" s="5" t="s">
        <v>50</v>
      </c>
      <c r="B32" s="6"/>
      <c r="C32" s="7"/>
      <c r="D32" s="7"/>
      <c r="E32" s="7"/>
      <c r="F32" s="7"/>
      <c r="G32" s="7"/>
      <c r="H32" s="7"/>
      <c r="I32" s="7"/>
      <c r="J32" s="6"/>
    </row>
    <row r="33" spans="1:2">
      <c r="A33" s="5"/>
      <c r="B33" s="2"/>
    </row>
    <row r="34" spans="1:2">
      <c r="A34" s="5" t="s">
        <v>51</v>
      </c>
      <c r="B34" s="2"/>
    </row>
    <row r="35" spans="1:2">
      <c r="A35" s="5" t="s">
        <v>52</v>
      </c>
      <c r="B35" s="2"/>
    </row>
    <row r="36" spans="1:2">
      <c r="A36" s="5" t="s">
        <v>53</v>
      </c>
      <c r="B36" s="2"/>
    </row>
    <row r="37" spans="1:2">
      <c r="A37" s="5" t="s">
        <v>54</v>
      </c>
      <c r="B37" s="2"/>
    </row>
    <row r="38" spans="1:2">
      <c r="A38" s="5" t="s">
        <v>55</v>
      </c>
      <c r="B38" s="2"/>
    </row>
    <row r="39" spans="1:2">
      <c r="A39" s="5" t="s">
        <v>56</v>
      </c>
      <c r="B39" s="2"/>
    </row>
    <row r="40" spans="1:2">
      <c r="A40" s="5" t="s">
        <v>57</v>
      </c>
      <c r="B40" s="2"/>
    </row>
    <row r="41" spans="1:2">
      <c r="A41" s="5" t="s">
        <v>58</v>
      </c>
      <c r="B41" s="2"/>
    </row>
    <row r="42" spans="1:1">
      <c r="A42" s="5" t="s">
        <v>59</v>
      </c>
    </row>
    <row r="43" spans="1:1">
      <c r="A43" s="5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az1zbekx</cp:lastModifiedBy>
  <cp:revision>6</cp:revision>
  <dcterms:created xsi:type="dcterms:W3CDTF">2026-03-24T22:26:00Z</dcterms:created>
  <dcterms:modified xsi:type="dcterms:W3CDTF">2026-03-26T11:43:01Z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