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<sst xmlns="http://schemas.openxmlformats.org/spreadsheetml/2006/main" count="25" uniqueCount="25">
  <si>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VLOOKUP</t>
  </si>
  <si>
    <t>ВПР</t>
  </si>
  <si>
    <t>Ovqat</t>
  </si>
  <si>
    <t xml:space="preserve">Qo'y go'shti</t>
  </si>
  <si>
    <t xml:space="preserve">Mol go'shti</t>
  </si>
  <si>
    <t xml:space="preserve">Tovuq go'shti</t>
  </si>
  <si>
    <t xml:space="preserve">Narx qimmat bolsa</t>
  </si>
  <si>
    <t>Osh</t>
  </si>
  <si>
    <t xml:space="preserve">Narxlar yig'indisi qimmat bolsa</t>
  </si>
  <si>
    <t>Shashlik</t>
  </si>
  <si>
    <t xml:space="preserve">Ovqat narxlari yig'indisi</t>
  </si>
  <si>
    <t>Manti</t>
  </si>
  <si>
    <t xml:space="preserve">Narxi katta bolsa qo'shsin</t>
  </si>
  <si>
    <t>Somsa</t>
  </si>
  <si>
    <t>Norin</t>
  </si>
  <si>
    <t>Sho'rva</t>
  </si>
  <si>
    <t>Tovuq</t>
  </si>
  <si>
    <t>Qo'y</t>
  </si>
  <si>
    <t>Mol</t>
  </si>
  <si>
    <t>osh</t>
  </si>
  <si>
    <t>shashlik</t>
  </si>
  <si>
    <t>manti</t>
  </si>
  <si>
    <t>somsa</t>
  </si>
  <si>
    <t>norin</t>
  </si>
  <si>
    <t>shorva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</si>
</sst>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</patternFill>
    </fill>
    <fill>
      <patternFill patternType="solid">
        <fgColor theme="8" tint="0.59999389629810485"/>
      </patternFill>
    </fill>
    <fill>
      <patternFill patternType="solid">
        <fgColor theme="9" tint="0.59999389629810485"/>
      </patternFill>
    </fill>
    <fill>
      <patternFill patternType="solid">
        <fgColor rgb="FFA3DBFF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8" tint="0.39997558519241921"/>
        <bgColor theme="8" tint="0.39997558519241921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0" xfId="0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0" fillId="2" borderId="1" numFmtId="0" xfId="0" applyFill="1" applyBorder="1" applyAlignment="1">
      <alignment horizontal="center" vertical="center"/>
    </xf>
    <xf fontId="0" fillId="3" borderId="1" numFmtId="0" xfId="0" applyFill="1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4" borderId="1" numFmtId="0" xfId="0" applyFill="1" applyBorder="1" applyAlignment="1">
      <alignment horizontal="center" vertical="center"/>
    </xf>
    <xf fontId="0" fillId="5" borderId="1" numFmtId="0" xfId="0" applyFill="1" applyBorder="1" applyAlignment="1">
      <alignment horizontal="center" vertical="center"/>
    </xf>
    <xf fontId="0" fillId="6" borderId="1" numFmtId="0" xfId="0" applyFill="1" applyBorder="1" applyAlignment="1">
      <alignment horizontal="center" vertical="center"/>
    </xf>
    <xf fontId="0" fillId="7" borderId="1" numFmt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K30" activeCellId="0" sqref="K30"/>
    </sheetView>
  </sheetViews>
  <sheetFormatPr defaultRowHeight="14.25"/>
  <cols>
    <col bestFit="1" customWidth="1" min="1" max="1" style="1" width="12.33203125"/>
    <col bestFit="1" customWidth="1" min="2" max="2" style="1" width="10.90234375"/>
    <col bestFit="1" customWidth="1" min="3" max="3" style="1" width="10.33203125"/>
    <col bestFit="1" customWidth="1" min="4" max="4" style="1" width="12.33203125"/>
    <col bestFit="1" min="5" max="5" style="1" width="6.421875"/>
    <col bestFit="1" customWidth="1" min="6" max="6" style="1" width="27.3828125"/>
    <col bestFit="1" min="7" max="7" style="1" width="7.19140625"/>
    <col min="8" max="16384" style="1" width="9.140625"/>
  </cols>
  <sheetData>
    <row r="1">
      <c r="A1" s="2" t="s">
        <v>0</v>
      </c>
      <c r="B1" s="3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F3" s="5" t="s">
        <v>6</v>
      </c>
    </row>
    <row r="4">
      <c r="A4" s="6" t="s">
        <v>7</v>
      </c>
      <c r="B4" s="6">
        <v>35000</v>
      </c>
      <c r="C4" s="6">
        <v>45000</v>
      </c>
      <c r="D4" s="6">
        <v>30000</v>
      </c>
      <c r="F4" s="5" t="s">
        <v>8</v>
      </c>
    </row>
    <row r="5">
      <c r="A5" s="6" t="s">
        <v>9</v>
      </c>
      <c r="B5" s="6">
        <v>110000</v>
      </c>
      <c r="C5" s="6">
        <v>120000</v>
      </c>
      <c r="D5" s="6">
        <v>90000</v>
      </c>
      <c r="F5" s="5" t="s">
        <v>10</v>
      </c>
    </row>
    <row r="6">
      <c r="A6" s="6" t="s">
        <v>11</v>
      </c>
      <c r="B6" s="6">
        <v>50000</v>
      </c>
      <c r="C6" s="6">
        <v>65000</v>
      </c>
      <c r="D6" s="6">
        <v>35000</v>
      </c>
      <c r="F6" s="5" t="s">
        <v>12</v>
      </c>
    </row>
    <row r="7">
      <c r="A7" s="6" t="s">
        <v>13</v>
      </c>
      <c r="B7" s="6">
        <v>10000</v>
      </c>
      <c r="C7" s="6">
        <v>12000</v>
      </c>
      <c r="D7" s="6">
        <v>8000</v>
      </c>
    </row>
    <row r="8">
      <c r="A8" s="6" t="s">
        <v>14</v>
      </c>
      <c r="B8" s="6">
        <v>55000</v>
      </c>
      <c r="C8" s="6">
        <v>65000</v>
      </c>
      <c r="D8" s="6">
        <v>40000</v>
      </c>
    </row>
    <row r="9">
      <c r="A9" s="6" t="s">
        <v>15</v>
      </c>
      <c r="B9" s="6">
        <v>37000</v>
      </c>
      <c r="C9" s="6">
        <v>42000</v>
      </c>
      <c r="D9" s="6">
        <v>35000</v>
      </c>
    </row>
    <row r="11">
      <c r="A11" s="6"/>
      <c r="B11" s="7" t="s">
        <v>16</v>
      </c>
      <c r="C11" s="7" t="s">
        <v>17</v>
      </c>
      <c r="D11" s="7" t="s">
        <v>18</v>
      </c>
    </row>
    <row r="12">
      <c r="A12" s="8" t="s">
        <v>9</v>
      </c>
      <c r="B12" s="6">
        <f>VLOOKUP(A12,A3:D9,4,FALSE)</f>
        <v>90000</v>
      </c>
      <c r="C12" s="6">
        <f>VLOOKUP(A12,A3:D9,2,FALSE)</f>
        <v>110000</v>
      </c>
      <c r="D12" s="6">
        <f>VLOOKUP(A12,A3:D9,3,FALSE)</f>
        <v>120000</v>
      </c>
    </row>
    <row r="16">
      <c r="A16" s="4" t="s">
        <v>2</v>
      </c>
      <c r="B16" s="9" t="s">
        <v>7</v>
      </c>
      <c r="C16" s="9" t="s">
        <v>9</v>
      </c>
      <c r="D16" s="9" t="s">
        <v>11</v>
      </c>
      <c r="E16" s="9" t="s">
        <v>13</v>
      </c>
      <c r="F16" s="9" t="s">
        <v>14</v>
      </c>
      <c r="G16" s="9" t="s">
        <v>15</v>
      </c>
    </row>
    <row r="17">
      <c r="A17" s="4" t="s">
        <v>3</v>
      </c>
      <c r="B17" s="6">
        <v>35000</v>
      </c>
      <c r="C17" s="6">
        <v>110000</v>
      </c>
      <c r="D17" s="6">
        <v>50000</v>
      </c>
      <c r="E17" s="6">
        <v>10000</v>
      </c>
      <c r="F17" s="6">
        <v>55000</v>
      </c>
      <c r="G17" s="6">
        <v>37000</v>
      </c>
    </row>
    <row r="18">
      <c r="A18" s="4" t="s">
        <v>4</v>
      </c>
      <c r="B18" s="6">
        <v>45000</v>
      </c>
      <c r="C18" s="6">
        <v>120000</v>
      </c>
      <c r="D18" s="6">
        <v>65000</v>
      </c>
      <c r="E18" s="6">
        <v>12000</v>
      </c>
      <c r="F18" s="6">
        <v>65000</v>
      </c>
      <c r="G18" s="6">
        <v>42000</v>
      </c>
    </row>
    <row r="19">
      <c r="A19" s="4" t="s">
        <v>5</v>
      </c>
      <c r="B19" s="6">
        <v>30000</v>
      </c>
      <c r="C19" s="6">
        <v>90000</v>
      </c>
      <c r="D19" s="6">
        <v>35000</v>
      </c>
      <c r="E19" s="6">
        <v>8000</v>
      </c>
      <c r="F19" s="6">
        <v>40000</v>
      </c>
      <c r="G19" s="6">
        <v>35000</v>
      </c>
    </row>
    <row r="23">
      <c r="A23" s="6"/>
      <c r="B23" s="10" t="s">
        <v>19</v>
      </c>
      <c r="C23" s="10" t="s">
        <v>20</v>
      </c>
      <c r="D23" s="10" t="s">
        <v>21</v>
      </c>
      <c r="E23" s="10" t="s">
        <v>22</v>
      </c>
      <c r="F23" s="10" t="s">
        <v>23</v>
      </c>
      <c r="G23" s="10" t="s">
        <v>24</v>
      </c>
    </row>
    <row r="24">
      <c r="A24" s="7" t="s">
        <v>16</v>
      </c>
      <c r="B24" s="6" t="str">
        <f>IF(B19&gt;50000,"Qimmat","Arzon")</f>
        <v>Arzon</v>
      </c>
      <c r="C24" s="6" t="str">
        <f t="shared" ref="C24:G24" si="0">IF(C19&gt;50000,"Qimmat","Arzon")</f>
        <v>Qimmat</v>
      </c>
      <c r="D24" s="6" t="str">
        <f t="shared" si="0"/>
        <v>Arzon</v>
      </c>
      <c r="E24" s="6" t="str">
        <f t="shared" si="0"/>
        <v>Arzon</v>
      </c>
      <c r="F24" s="6" t="str">
        <f t="shared" si="0"/>
        <v>Arzon</v>
      </c>
      <c r="G24" s="6" t="str">
        <f t="shared" si="0"/>
        <v>Arzon</v>
      </c>
    </row>
    <row r="25">
      <c r="A25" s="7" t="s">
        <v>17</v>
      </c>
      <c r="B25" s="6" t="str">
        <f t="shared" ref="B25:B26" si="1">IF(B17&gt;50000,"Qimmat","Arzon")</f>
        <v>Arzon</v>
      </c>
      <c r="C25" s="6" t="str">
        <f t="shared" ref="C25:G26" si="2">IF(C17&gt;50000,"Qimmat","Arzon")</f>
        <v>Qimmat</v>
      </c>
      <c r="D25" s="6" t="str">
        <f t="shared" si="2"/>
        <v>Arzon</v>
      </c>
      <c r="E25" s="6" t="str">
        <f t="shared" si="2"/>
        <v>Arzon</v>
      </c>
      <c r="F25" s="6" t="str">
        <f t="shared" si="2"/>
        <v>Qimmat</v>
      </c>
      <c r="G25" s="6" t="str">
        <f t="shared" si="2"/>
        <v>Arzon</v>
      </c>
    </row>
    <row r="26">
      <c r="A26" s="7" t="s">
        <v>18</v>
      </c>
      <c r="B26" s="6" t="str">
        <f t="shared" si="1"/>
        <v>Arzon</v>
      </c>
      <c r="C26" s="6" t="str">
        <f t="shared" si="2"/>
        <v>Qimmat</v>
      </c>
      <c r="D26" s="6" t="str">
        <f t="shared" si="2"/>
        <v>Qimmat</v>
      </c>
      <c r="E26" s="6" t="str">
        <f t="shared" si="2"/>
        <v>Arzon</v>
      </c>
      <c r="F26" s="6" t="str">
        <f t="shared" si="2"/>
        <v>Qimmat</v>
      </c>
      <c r="G26" s="6" t="str">
        <f t="shared" si="2"/>
        <v>Arzon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2023.08.31</dc:creator>
  <cp:revision>1</cp:revision>
  <dcterms:created xsi:type="dcterms:W3CDTF">2026-04-02T03:43:42Z</dcterms:created>
  <dcterms:modified xsi:type="dcterms:W3CDTF">2026-04-09T04:52:13Z</dcterms:modified>
</cp:coreProperties>
</file>