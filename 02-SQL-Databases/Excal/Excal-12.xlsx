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elp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ID" sheetId="6" state="visible" r:id="rId6"/>
    <sheet name="Salary" sheetId="7" state="visible" r:id="rId7"/>
    <sheet name="H&amp;V" sheetId="8" state="visible" r:id="rId8"/>
  </sheets>
  <definedNames>
    <definedName name="_xlnm._FilterDatabase" localSheetId="5" hidden="1">ID!$A$1:$B$1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<sst xmlns="http://schemas.openxmlformats.org/spreadsheetml/2006/main" count="175" uniqueCount="175">
  <si>
    <t xml:space="preserve">[режим_сопоставления] (Match Mode)</t>
  </si>
  <si>
    <t>Qiymat</t>
  </si>
  <si>
    <t>Nomi</t>
  </si>
  <si>
    <t xml:space="preserve">Nima qiladi</t>
  </si>
  <si>
    <t xml:space="preserve">Qachon ishlatiladi</t>
  </si>
  <si>
    <t xml:space="preserve">Exact match</t>
  </si>
  <si>
    <t xml:space="preserve">Faqat aynan teng qiymatni topadi</t>
  </si>
  <si>
    <t xml:space="preserve">Default (eng ko‘p ishlatiladi)</t>
  </si>
  <si>
    <t xml:space="preserve">Exact yoki kichik</t>
  </si>
  <si>
    <t xml:space="preserve">Topilmasa, undan kichik eng yaqin qiymat</t>
  </si>
  <si>
    <t xml:space="preserve">Chegara, bonus, narx diapazoni</t>
  </si>
  <si>
    <t xml:space="preserve">Exact yoki katta</t>
  </si>
  <si>
    <t xml:space="preserve">Topilmasa, undan katta eng yaqin qiymat</t>
  </si>
  <si>
    <t xml:space="preserve">Tarif, minimal qiymat</t>
  </si>
  <si>
    <t xml:space="preserve">Wildcard match</t>
  </si>
  <si>
    <t xml:space="preserve">* va ? bilan ichidan qidiradi</t>
  </si>
  <si>
    <t xml:space="preserve">Matn qidirish</t>
  </si>
  <si>
    <t xml:space="preserve">[режим_поиска] (Search Mode)</t>
  </si>
  <si>
    <t xml:space="preserve">Oldindan qidiruv</t>
  </si>
  <si>
    <t xml:space="preserve">Yuqoridan pastga qidiradi</t>
  </si>
  <si>
    <t>Default</t>
  </si>
  <si>
    <t xml:space="preserve">Reverse qidiruv</t>
  </si>
  <si>
    <t xml:space="preserve">Pastdan yuqoriga qidiradi</t>
  </si>
  <si>
    <t xml:space="preserve">Oxirgi qiymatni olish</t>
  </si>
  <si>
    <t xml:space="preserve">Binary (o‘sish)</t>
  </si>
  <si>
    <t xml:space="preserve">Tez qidiradi (sorted data)</t>
  </si>
  <si>
    <t xml:space="preserve">Katta dataset</t>
  </si>
  <si>
    <t xml:space="preserve">Binary (kamayish)</t>
  </si>
  <si>
    <t xml:space="preserve">Tez qidiradi (teskari sorted)</t>
  </si>
  <si>
    <t xml:space="preserve">Maxsus holat</t>
  </si>
  <si>
    <r>
      <rPr>
        <sz val="10"/>
        <color theme="1"/>
        <rFont val="Arial"/>
      </rPr>
      <t>ПРОСМОТРX(</t>
    </r>
    <r>
      <rPr>
        <sz val="10"/>
        <color indexed="2"/>
        <rFont val="Arial"/>
      </rPr>
      <t>искомое_значение</t>
    </r>
    <r>
      <rPr>
        <sz val="10"/>
        <color theme="1"/>
        <rFont val="Arial"/>
      </rPr>
      <t>;</t>
    </r>
    <r>
      <rPr>
        <sz val="10"/>
        <color rgb="FF1155CC"/>
        <rFont val="Arial"/>
      </rPr>
      <t xml:space="preserve"> просматриваемый_массив</t>
    </r>
    <r>
      <rPr>
        <sz val="10"/>
        <color theme="1"/>
        <rFont val="Arial"/>
      </rPr>
      <t xml:space="preserve">; </t>
    </r>
    <r>
      <rPr>
        <sz val="10"/>
        <color indexed="2"/>
        <rFont val="Arial"/>
      </rPr>
      <t>возвращаемый_массив</t>
    </r>
    <r>
      <rPr>
        <sz val="10"/>
        <color theme="1"/>
        <rFont val="Arial"/>
      </rPr>
      <t xml:space="preserve">; </t>
    </r>
    <r>
      <rPr>
        <sz val="10"/>
        <color indexed="3"/>
        <rFont val="Arial"/>
      </rPr>
      <t>[если_не_найдено]</t>
    </r>
    <r>
      <rPr>
        <sz val="10"/>
        <color theme="1"/>
        <rFont val="Arial"/>
      </rPr>
      <t xml:space="preserve">; </t>
    </r>
    <r>
      <rPr>
        <sz val="10"/>
        <color indexed="52"/>
        <rFont val="Arial"/>
      </rPr>
      <t>[режим_сопоставления]</t>
    </r>
    <r>
      <rPr>
        <sz val="10"/>
        <color theme="1"/>
        <rFont val="Arial"/>
      </rPr>
      <t xml:space="preserve">; [режим_поиска])</t>
    </r>
  </si>
  <si>
    <t xml:space="preserve">A va B lar ishtirokida to'ldiramiz</t>
  </si>
  <si>
    <t>Товар</t>
  </si>
  <si>
    <t>Поставщик</t>
  </si>
  <si>
    <t>Категория</t>
  </si>
  <si>
    <t>Цена</t>
  </si>
  <si>
    <t>Гречка</t>
  </si>
  <si>
    <t>Шоколад</t>
  </si>
  <si>
    <t>Курага</t>
  </si>
  <si>
    <t xml:space="preserve">A jadval</t>
  </si>
  <si>
    <t>Крупы</t>
  </si>
  <si>
    <t>NutriFix</t>
  </si>
  <si>
    <t>Рис</t>
  </si>
  <si>
    <t>Сладости</t>
  </si>
  <si>
    <t>Зефир</t>
  </si>
  <si>
    <t>Sweetables</t>
  </si>
  <si>
    <t>mymeal</t>
  </si>
  <si>
    <t>Сухофрукты</t>
  </si>
  <si>
    <t>Изюм</t>
  </si>
  <si>
    <t xml:space="preserve">B jadval</t>
  </si>
  <si>
    <t xml:space="preserve">Цена/шт. (€)</t>
  </si>
  <si>
    <t>ТОВАР</t>
  </si>
  <si>
    <t xml:space="preserve">Boshida sotib olingan tovar sanasi</t>
  </si>
  <si>
    <t xml:space="preserve">Oxirgi savdo sanasi</t>
  </si>
  <si>
    <t>Дата</t>
  </si>
  <si>
    <t xml:space="preserve">Цена за штуку</t>
  </si>
  <si>
    <t>Количество</t>
  </si>
  <si>
    <t>Выручка</t>
  </si>
  <si>
    <t>Кофе</t>
  </si>
  <si>
    <t>Студент</t>
  </si>
  <si>
    <t>Ball</t>
  </si>
  <si>
    <t>Baho</t>
  </si>
  <si>
    <t xml:space="preserve">Студент A</t>
  </si>
  <si>
    <t xml:space="preserve">Студент B</t>
  </si>
  <si>
    <t xml:space="preserve">Студент C</t>
  </si>
  <si>
    <t xml:space="preserve">Студент D</t>
  </si>
  <si>
    <t xml:space="preserve">Студент E</t>
  </si>
  <si>
    <t xml:space="preserve">Студент F</t>
  </si>
  <si>
    <t xml:space="preserve">Студент G</t>
  </si>
  <si>
    <t xml:space="preserve">Студент H</t>
  </si>
  <si>
    <t xml:space="preserve">Студент I</t>
  </si>
  <si>
    <t xml:space="preserve">Студент J</t>
  </si>
  <si>
    <t xml:space="preserve">Студент K</t>
  </si>
  <si>
    <t xml:space="preserve">Студент L</t>
  </si>
  <si>
    <t xml:space="preserve">Студент M</t>
  </si>
  <si>
    <t xml:space="preserve">Студент N</t>
  </si>
  <si>
    <t xml:space="preserve">Студент O</t>
  </si>
  <si>
    <t xml:space="preserve">Студент P</t>
  </si>
  <si>
    <t xml:space="preserve">Студент Q</t>
  </si>
  <si>
    <t xml:space="preserve">Студент R</t>
  </si>
  <si>
    <t xml:space="preserve">Студент S</t>
  </si>
  <si>
    <t xml:space="preserve">Студент T</t>
  </si>
  <si>
    <t>Акция</t>
  </si>
  <si>
    <t>Курс</t>
  </si>
  <si>
    <t xml:space="preserve">Adobe Inc.</t>
  </si>
  <si>
    <t>Adobe</t>
  </si>
  <si>
    <t xml:space="preserve">Class C Alphabet Inc.</t>
  </si>
  <si>
    <t>Alphabet</t>
  </si>
  <si>
    <t xml:space="preserve">Amazon.com Inc.</t>
  </si>
  <si>
    <t>Amazon</t>
  </si>
  <si>
    <t xml:space="preserve">Apple Inc.</t>
  </si>
  <si>
    <t>Apple</t>
  </si>
  <si>
    <t xml:space="preserve">Bank of America Corp</t>
  </si>
  <si>
    <t xml:space="preserve">Microsoft Corp.</t>
  </si>
  <si>
    <t xml:space="preserve">Exxon Mobil Corp.</t>
  </si>
  <si>
    <t>Tesla</t>
  </si>
  <si>
    <t xml:space="preserve">General Motors</t>
  </si>
  <si>
    <t xml:space="preserve">Tesla, Inc.</t>
  </si>
  <si>
    <t>Bo'lim</t>
  </si>
  <si>
    <t xml:space="preserve">Ism Familiya</t>
  </si>
  <si>
    <t>Sales</t>
  </si>
  <si>
    <t xml:space="preserve">Jasur Aliyev</t>
  </si>
  <si>
    <t xml:space="preserve">Bekzod Rustamov</t>
  </si>
  <si>
    <t xml:space="preserve">Odil Abdullayev</t>
  </si>
  <si>
    <t>Procurement</t>
  </si>
  <si>
    <t xml:space="preserve">Shodlik Nurmatov</t>
  </si>
  <si>
    <t>Finance</t>
  </si>
  <si>
    <t xml:space="preserve">Aziz Raxmatov</t>
  </si>
  <si>
    <t xml:space="preserve">Ulugbek Soliyev</t>
  </si>
  <si>
    <t xml:space="preserve">Jalon Akbarov</t>
  </si>
  <si>
    <t xml:space="preserve">Sarvar Raxmonov</t>
  </si>
  <si>
    <t xml:space="preserve">Sardor Karimov</t>
  </si>
  <si>
    <t xml:space="preserve">Abduraxmon Toirov</t>
  </si>
  <si>
    <t xml:space="preserve">Sarvar Karimov</t>
  </si>
  <si>
    <t xml:space="preserve">Shoxrux Yuldashev</t>
  </si>
  <si>
    <t xml:space="preserve">Dilmurod Akbarov</t>
  </si>
  <si>
    <t xml:space="preserve">Jashon Alimov</t>
  </si>
  <si>
    <t xml:space="preserve">Dilshod Raxmonov</t>
  </si>
  <si>
    <t xml:space="preserve">Jashon Abdullaev</t>
  </si>
  <si>
    <t xml:space="preserve">Dilshod Rustamov</t>
  </si>
  <si>
    <t xml:space="preserve">Abbos Karimov</t>
  </si>
  <si>
    <t xml:space="preserve">Bekzod Abdullaev</t>
  </si>
  <si>
    <t xml:space="preserve">Komron Raxmonov</t>
  </si>
  <si>
    <t xml:space="preserve">Shodiyor Akbarov</t>
  </si>
  <si>
    <t xml:space="preserve">Jashon Raximov</t>
  </si>
  <si>
    <t xml:space="preserve">Abdukarim Soliyev</t>
  </si>
  <si>
    <t xml:space="preserve">Muhammad Akbarov</t>
  </si>
  <si>
    <t xml:space="preserve">Ilhomjon Raxmonov</t>
  </si>
  <si>
    <t xml:space="preserve">Akmal Toshpulatov</t>
  </si>
  <si>
    <t xml:space="preserve">Javlon Soliyev</t>
  </si>
  <si>
    <t xml:space="preserve">Jasur Nurmatov</t>
  </si>
  <si>
    <t xml:space="preserve">Murod Karimov</t>
  </si>
  <si>
    <t xml:space="preserve">Ilhom Rahimov</t>
  </si>
  <si>
    <t>Maoshi</t>
  </si>
  <si>
    <t>Bonus</t>
  </si>
  <si>
    <t xml:space="preserve">Bonus summasi</t>
  </si>
  <si>
    <t>Jami</t>
  </si>
  <si>
    <t>Lavozimi</t>
  </si>
  <si>
    <t>ID</t>
  </si>
  <si>
    <t xml:space="preserve">Javlon Akbarov</t>
  </si>
  <si>
    <t>Horizontal</t>
  </si>
  <si>
    <t>Vertical</t>
  </si>
  <si>
    <t xml:space="preserve">Bonus %</t>
  </si>
  <si>
    <t xml:space="preserve">Employee Name</t>
  </si>
  <si>
    <t>EmployeID</t>
  </si>
  <si>
    <t>ID7</t>
  </si>
  <si>
    <t>ID20</t>
  </si>
  <si>
    <t>ID25</t>
  </si>
  <si>
    <t>ID26</t>
  </si>
  <si>
    <t>ID21</t>
  </si>
  <si>
    <t>ID4</t>
  </si>
  <si>
    <t>ID10</t>
  </si>
  <si>
    <t>ID8</t>
  </si>
  <si>
    <t>ID9</t>
  </si>
  <si>
    <t>ID1</t>
  </si>
  <si>
    <t>ID11</t>
  </si>
  <si>
    <t>ID16</t>
  </si>
  <si>
    <t>ID29</t>
  </si>
  <si>
    <t>ID27</t>
  </si>
  <si>
    <t>ID15</t>
  </si>
  <si>
    <t>ID12</t>
  </si>
  <si>
    <t>ID19</t>
  </si>
  <si>
    <t>ID24</t>
  </si>
  <si>
    <t>ID3</t>
  </si>
  <si>
    <t>ID14</t>
  </si>
  <si>
    <t>ID22</t>
  </si>
  <si>
    <t>ID13</t>
  </si>
  <si>
    <t>ID5</t>
  </si>
  <si>
    <t>ID17</t>
  </si>
  <si>
    <t>ID31</t>
  </si>
  <si>
    <t>ID32</t>
  </si>
  <si>
    <t>ID33</t>
  </si>
  <si>
    <t>ID34</t>
  </si>
  <si>
    <t>ID35</t>
  </si>
  <si>
    <t>ID36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</si>
</sst>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[$$-409]#,##0.00"/>
  </numFmts>
  <fonts count="11">
    <font>
      <sz val="10.000000"/>
      <color indexed="64"/>
      <name val="Arial"/>
      <scheme val="minor"/>
    </font>
    <font>
      <b/>
      <sz val="10.000000"/>
      <color theme="1"/>
      <name val="Arial"/>
      <scheme val="minor"/>
    </font>
    <font>
      <sz val="10.000000"/>
      <color theme="1"/>
      <name val="Arial"/>
      <scheme val="minor"/>
    </font>
    <font>
      <b/>
      <i/>
      <sz val="11.000000"/>
      <color theme="1"/>
      <name val="Calibri"/>
    </font>
    <font>
      <sz val="11.000000"/>
      <color theme="1"/>
      <name val="Calibri"/>
    </font>
    <font>
      <b/>
      <sz val="11.000000"/>
      <color theme="1"/>
      <name val="Calibri"/>
    </font>
    <font>
      <sz val="9.000000"/>
      <color theme="1"/>
      <name val="Arial"/>
      <scheme val="minor"/>
    </font>
    <font>
      <b/>
      <sz val="11.000000"/>
      <color indexed="64"/>
      <name val="Calibri"/>
    </font>
    <font>
      <sz val="11.000000"/>
      <color indexed="64"/>
      <name val="Calibri"/>
    </font>
    <font>
      <b/>
      <sz val="10.000000"/>
      <color indexed="64"/>
      <name val="Arial"/>
      <scheme val="minor"/>
    </font>
    <font>
      <sz val="10.000000"/>
      <color theme="1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</patternFill>
    </fill>
    <fill>
      <patternFill patternType="solid">
        <fgColor rgb="FFC5E0B3"/>
        <bgColor rgb="FFC5E0B3"/>
      </patternFill>
    </fill>
    <fill>
      <patternFill patternType="solid">
        <fgColor rgb="FFD6DCE4"/>
        <bgColor rgb="FFD6DCE4"/>
      </patternFill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6D9EEB"/>
        <bgColor rgb="FF6D9EEB"/>
      </patternFill>
    </fill>
    <fill>
      <patternFill patternType="solid">
        <fgColor rgb="FFBDD7EE"/>
        <bgColor rgb="FFBDD7EE"/>
      </patternFill>
    </fill>
  </fills>
  <borders count="16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none"/>
      <bottom style="none"/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9">
    <xf fontId="0" fillId="0" borderId="0" numFmtId="0" xfId="0"/>
    <xf fontId="0" fillId="0" borderId="0" numFmtId="0" xfId="0" applyAlignment="1">
      <alignment horizontal="center" vertical="center"/>
    </xf>
    <xf fontId="1" fillId="2" borderId="1" numFmtId="0" xfId="0" applyFont="1" applyFill="1" applyBorder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2" fillId="0" borderId="1" numFmtId="0" xfId="0" applyFont="1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2" fillId="0" borderId="0" numFmtId="0" xfId="0" applyFont="1" applyAlignment="1">
      <alignment horizontal="center" vertical="center"/>
    </xf>
    <xf fontId="3" fillId="0" borderId="0" numFmtId="0" xfId="0" applyFont="1" applyAlignment="1">
      <alignment horizontal="center" vertical="center"/>
    </xf>
    <xf fontId="4" fillId="0" borderId="0" numFmtId="0" xfId="0" applyFont="1" applyAlignment="1">
      <alignment horizontal="center" vertical="center"/>
    </xf>
    <xf fontId="3" fillId="0" borderId="1" numFmtId="0" xfId="0" applyFont="1" applyBorder="1" applyAlignment="1">
      <alignment horizontal="center" vertical="center"/>
    </xf>
    <xf fontId="5" fillId="3" borderId="1" numFmtId="0" xfId="0" applyFont="1" applyFill="1" applyBorder="1" applyAlignment="1">
      <alignment horizontal="center" vertical="center"/>
    </xf>
    <xf fontId="4" fillId="0" borderId="1" numFmtId="0" xfId="0" applyFont="1" applyBorder="1" applyAlignment="1">
      <alignment horizontal="center" vertical="center"/>
    </xf>
    <xf fontId="5" fillId="4" borderId="1" numFmtId="0" xfId="0" applyFont="1" applyFill="1" applyBorder="1" applyAlignment="1">
      <alignment horizontal="center" vertical="center"/>
    </xf>
    <xf fontId="6" fillId="0" borderId="0" numFmtId="0" xfId="0" applyFont="1" applyAlignment="1">
      <alignment horizontal="center" vertical="center"/>
    </xf>
    <xf fontId="5" fillId="0" borderId="1" numFmtId="0" xfId="0" applyFont="1" applyBorder="1" applyAlignment="1">
      <alignment horizontal="center" vertical="center"/>
    </xf>
    <xf fontId="5" fillId="3" borderId="1" numFmtId="0" xfId="0" applyFont="1" applyFill="1" applyBorder="1" applyAlignment="1">
      <alignment horizontal="center" vertical="center" wrapText="1"/>
    </xf>
    <xf fontId="4" fillId="5" borderId="2" numFmtId="0" xfId="0" applyFont="1" applyFill="1" applyBorder="1" applyAlignment="1">
      <alignment horizontal="center" vertical="center" wrapText="1"/>
    </xf>
    <xf fontId="4" fillId="5" borderId="3" numFmtId="0" xfId="0" applyFont="1" applyFill="1" applyBorder="1" applyAlignment="1">
      <alignment horizontal="center" vertical="center" wrapText="1"/>
    </xf>
    <xf fontId="4" fillId="5" borderId="4" numFmtId="0" xfId="0" applyFont="1" applyFill="1" applyBorder="1" applyAlignment="1">
      <alignment horizontal="center" vertical="center" wrapText="1"/>
    </xf>
    <xf fontId="4" fillId="0" borderId="1" numFmtId="14" xfId="0" applyNumberFormat="1" applyFont="1" applyBorder="1" applyAlignment="1">
      <alignment horizontal="center" vertical="center"/>
    </xf>
    <xf fontId="4" fillId="6" borderId="5" numFmtId="14" xfId="0" applyNumberFormat="1" applyFont="1" applyFill="1" applyBorder="1" applyAlignment="1">
      <alignment horizontal="center" vertical="center"/>
    </xf>
    <xf fontId="4" fillId="6" borderId="1" numFmtId="0" xfId="0" applyFont="1" applyFill="1" applyBorder="1" applyAlignment="1">
      <alignment horizontal="center" vertical="center"/>
    </xf>
    <xf fontId="4" fillId="6" borderId="6" numFmtId="0" xfId="0" applyFont="1" applyFill="1" applyBorder="1" applyAlignment="1">
      <alignment horizontal="center" vertical="center"/>
    </xf>
    <xf fontId="4" fillId="6" borderId="7" numFmtId="14" xfId="0" applyNumberFormat="1" applyFont="1" applyFill="1" applyBorder="1" applyAlignment="1">
      <alignment horizontal="center" vertical="center"/>
    </xf>
    <xf fontId="4" fillId="6" borderId="8" numFmtId="0" xfId="0" applyFont="1" applyFill="1" applyBorder="1" applyAlignment="1">
      <alignment horizontal="center" vertical="center"/>
    </xf>
    <xf fontId="4" fillId="6" borderId="9" numFmtId="0" xfId="0" applyFont="1" applyFill="1" applyBorder="1" applyAlignment="1">
      <alignment horizontal="center" vertical="center"/>
    </xf>
    <xf fontId="5" fillId="3" borderId="10" numFmtId="0" xfId="0" applyFont="1" applyFill="1" applyBorder="1" applyAlignment="1">
      <alignment horizontal="center" vertical="center"/>
    </xf>
    <xf fontId="5" fillId="6" borderId="10" numFmtId="0" xfId="0" applyFont="1" applyFill="1" applyBorder="1" applyAlignment="1">
      <alignment horizontal="center" vertical="center"/>
    </xf>
    <xf fontId="4" fillId="0" borderId="11" numFmtId="0" xfId="0" applyFont="1" applyBorder="1" applyAlignment="1">
      <alignment horizontal="center" vertical="center"/>
    </xf>
    <xf fontId="4" fillId="0" borderId="12" numFmtId="0" xfId="0" applyFont="1" applyBorder="1" applyAlignment="1">
      <alignment horizontal="center" vertical="center"/>
    </xf>
    <xf fontId="4" fillId="0" borderId="13" numFmtId="0" xfId="0" applyFont="1" applyBorder="1" applyAlignment="1">
      <alignment horizontal="center" vertical="center"/>
    </xf>
    <xf fontId="4" fillId="0" borderId="1" numFmtId="164" xfId="0" applyNumberFormat="1" applyFont="1" applyBorder="1" applyAlignment="1">
      <alignment horizontal="center" vertical="center"/>
    </xf>
    <xf fontId="7" fillId="7" borderId="14" numFmtId="0" xfId="0" applyFont="1" applyFill="1" applyBorder="1" applyAlignment="1">
      <alignment horizontal="center" vertical="center"/>
    </xf>
    <xf fontId="5" fillId="7" borderId="1" numFmtId="0" xfId="0" applyFont="1" applyFill="1" applyBorder="1" applyAlignment="1">
      <alignment horizontal="center" vertical="center"/>
    </xf>
    <xf fontId="8" fillId="0" borderId="14" numFmtId="0" xfId="0" applyFont="1" applyBorder="1" applyAlignment="1">
      <alignment horizontal="center" vertical="center"/>
    </xf>
    <xf fontId="8" fillId="0" borderId="1" numFmtId="0" xfId="0" applyFont="1" applyBorder="1" applyAlignment="1">
      <alignment horizontal="center" vertical="center"/>
    </xf>
    <xf fontId="8" fillId="0" borderId="0" numFmtId="0" xfId="0" applyFont="1" applyAlignment="1">
      <alignment horizontal="center" vertical="center"/>
    </xf>
    <xf fontId="0" fillId="0" borderId="0" numFmtId="0" xfId="0" applyAlignment="1">
      <alignment horizontal="center"/>
    </xf>
    <xf fontId="5" fillId="8" borderId="1" numFmtId="0" xfId="0" applyFont="1" applyFill="1" applyBorder="1" applyAlignment="1">
      <alignment horizontal="center" vertical="center"/>
    </xf>
    <xf fontId="1" fillId="2" borderId="6" numFmtId="0" xfId="0" applyFont="1" applyFill="1" applyBorder="1" applyAlignment="1">
      <alignment horizontal="center" vertical="center"/>
    </xf>
    <xf fontId="9" fillId="2" borderId="15" numFmtId="0" xfId="0" applyFont="1" applyFill="1" applyBorder="1" applyAlignment="1">
      <alignment horizontal="center" vertical="center"/>
    </xf>
    <xf fontId="2" fillId="0" borderId="1" numFmtId="9" xfId="0" applyNumberFormat="1" applyFont="1" applyBorder="1" applyAlignment="1">
      <alignment horizontal="center" vertical="center"/>
    </xf>
    <xf fontId="2" fillId="0" borderId="6" numFmtId="0" xfId="0" applyFont="1" applyBorder="1" applyAlignment="1">
      <alignment horizontal="center" vertical="center"/>
    </xf>
    <xf fontId="0" fillId="0" borderId="15" numFmtId="0" xfId="0" applyBorder="1" applyAlignment="1">
      <alignment horizontal="center" vertical="center"/>
    </xf>
    <xf fontId="10" fillId="0" borderId="15" numFmtId="0" xfId="0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  <xf fontId="7" fillId="0" borderId="1" numFmtId="0" xfId="0" applyFont="1" applyBorder="1" applyAlignment="1">
      <alignment horizontal="center" vertical="center"/>
    </xf>
    <xf fontId="7" fillId="2" borderId="1" numFmtId="0" xfId="0" applyFont="1" applyFill="1" applyBorder="1" applyAlignment="1">
      <alignment horizontal="center" vertical="center"/>
    </xf>
    <xf fontId="8" fillId="0" borderId="1" numFmtId="9" xfId="0" applyNumberFormat="1" applyFont="1" applyBorder="1" applyAlignment="1">
      <alignment horizontal="center" vertical="center"/>
    </xf>
  </cellXfs>
  <cellStyles count="1">
    <cellStyle name="Normal" xfId="0" builtinId="0"/>
  </cellStyles>
  <dxfs count="10">
    <dxf>
      <border>
        <left style="none"/>
        <right style="thin">
          <color auto="1"/>
        </right>
        <top style="thin">
          <color auto="1"/>
        </top>
        <bottom style="thin">
          <color auto="1"/>
        </bottom>
        <diagonal/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none"/>
        <top style="thin">
          <color auto="1"/>
        </top>
        <bottom style="thin">
          <color auto="1"/>
        </bottom>
        <diagonal/>
        <vertical style="thin">
          <color auto="1"/>
        </vertical>
        <horizontal style="thin">
          <color auto="1"/>
        </horizontal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</dxfs>
  <tableStyles count="1" defaultTableStyle="TableStyleMedium2" defaultPivotStyle="PivotStyleLight16">
    <tableStyle name="2-style" pivot="0" count="3">
      <tableStyleElement type="firstRowStripe" size="1" dxfId="7"/>
      <tableStyleElement type="headerRow" size="1" dxfId="8"/>
      <tableStyleElement type="secondRowStripe" size="1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_1" ref="E2:K18">
  <tableColumns count="7">
    <tableColumn id="1" name="Дата" dataDxfId="0"/>
    <tableColumn id="2" name="Поставщик" dataDxfId="1"/>
    <tableColumn id="3" name="Категория" dataDxfId="2"/>
    <tableColumn id="4" name="Товар" dataDxfId="3"/>
    <tableColumn id="5" name="Цена за штуку" dataDxfId="4"/>
    <tableColumn id="6" name="Количество" dataDxfId="5"/>
    <tableColumn id="7" name="Выручка" dataDxfId="6"/>
  </tableColumns>
  <tableStyleInfo name="2-style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4" zoomScale="100" workbookViewId="0">
      <selection activeCell="A16" activeCellId="0" sqref="A16"/>
    </sheetView>
  </sheetViews>
  <sheetFormatPr baseColWidth="10" defaultColWidth="12.6640625" defaultRowHeight="15.75" customHeight="1"/>
  <cols>
    <col bestFit="1" customWidth="1" min="1" max="1" style="1" width="133.09375"/>
    <col bestFit="1" customWidth="1" min="2" max="2" style="1" width="15.953125"/>
    <col bestFit="1" customWidth="1" min="3" max="3" style="1" width="35.953125"/>
    <col bestFit="1" customWidth="1" min="4" max="4" style="1" width="27.6640625"/>
    <col min="5" max="16384" style="1" width="12.6640625"/>
  </cols>
  <sheetData>
    <row r="1" ht="15.75" customHeight="1">
      <c r="A1" s="2" t="s">
        <v>0</v>
      </c>
      <c r="B1" s="3"/>
      <c r="C1" s="3"/>
      <c r="D1" s="3"/>
    </row>
    <row r="2" ht="15.75" customHeight="1">
      <c r="A2" s="2" t="s">
        <v>1</v>
      </c>
      <c r="B2" s="2" t="s">
        <v>2</v>
      </c>
      <c r="C2" s="2" t="s">
        <v>3</v>
      </c>
      <c r="D2" s="2" t="s">
        <v>4</v>
      </c>
    </row>
    <row r="3" ht="15.75" customHeight="1">
      <c r="A3" s="4">
        <v>0</v>
      </c>
      <c r="B3" s="4" t="s">
        <v>5</v>
      </c>
      <c r="C3" s="4" t="s">
        <v>6</v>
      </c>
      <c r="D3" s="4" t="s">
        <v>7</v>
      </c>
    </row>
    <row r="4" ht="15.75">
      <c r="A4" s="4">
        <v>-1</v>
      </c>
      <c r="B4" s="4" t="s">
        <v>8</v>
      </c>
      <c r="C4" s="4" t="s">
        <v>9</v>
      </c>
      <c r="D4" s="4" t="s">
        <v>10</v>
      </c>
    </row>
    <row r="5" ht="15.75" customHeight="1">
      <c r="A5" s="4">
        <v>1</v>
      </c>
      <c r="B5" s="4" t="s">
        <v>11</v>
      </c>
      <c r="C5" s="4" t="s">
        <v>12</v>
      </c>
      <c r="D5" s="4" t="s">
        <v>13</v>
      </c>
    </row>
    <row r="6" ht="15.75" customHeight="1">
      <c r="A6" s="4">
        <v>2</v>
      </c>
      <c r="B6" s="4" t="s">
        <v>14</v>
      </c>
      <c r="C6" s="4" t="s">
        <v>15</v>
      </c>
      <c r="D6" s="4" t="s">
        <v>16</v>
      </c>
    </row>
    <row r="8" ht="15.75" customHeight="1">
      <c r="A8" s="2" t="s">
        <v>17</v>
      </c>
      <c r="B8" s="5"/>
      <c r="C8" s="5"/>
      <c r="D8" s="5"/>
    </row>
    <row r="9" ht="15.75" customHeight="1">
      <c r="A9" s="2" t="s">
        <v>1</v>
      </c>
      <c r="B9" s="2" t="s">
        <v>2</v>
      </c>
      <c r="C9" s="2" t="s">
        <v>3</v>
      </c>
      <c r="D9" s="2" t="s">
        <v>4</v>
      </c>
    </row>
    <row r="10" ht="15.75" customHeight="1">
      <c r="A10" s="4">
        <v>1</v>
      </c>
      <c r="B10" s="4" t="s">
        <v>18</v>
      </c>
      <c r="C10" s="4" t="s">
        <v>19</v>
      </c>
      <c r="D10" s="4" t="s">
        <v>20</v>
      </c>
    </row>
    <row r="11" ht="15.75" customHeight="1">
      <c r="A11" s="4">
        <v>-1</v>
      </c>
      <c r="B11" s="4" t="s">
        <v>21</v>
      </c>
      <c r="C11" s="4" t="s">
        <v>22</v>
      </c>
      <c r="D11" s="4" t="s">
        <v>23</v>
      </c>
    </row>
    <row r="12" ht="15.75" customHeight="1">
      <c r="A12" s="4">
        <v>2</v>
      </c>
      <c r="B12" s="4" t="s">
        <v>24</v>
      </c>
      <c r="C12" s="4" t="s">
        <v>25</v>
      </c>
      <c r="D12" s="4" t="s">
        <v>26</v>
      </c>
    </row>
    <row r="13" ht="15.75" customHeight="1">
      <c r="A13" s="4">
        <v>-2</v>
      </c>
      <c r="B13" s="4" t="s">
        <v>27</v>
      </c>
      <c r="C13" s="4" t="s">
        <v>28</v>
      </c>
      <c r="D13" s="4" t="s">
        <v>29</v>
      </c>
    </row>
    <row r="15" ht="15.75" customHeight="1">
      <c r="A15" s="6"/>
    </row>
    <row r="16" ht="15.75" customHeight="1">
      <c r="A16" s="6" t="s">
        <v>30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68" workbookViewId="0">
      <selection activeCell="F15" activeCellId="0" sqref="F15"/>
    </sheetView>
  </sheetViews>
  <sheetFormatPr baseColWidth="10" defaultColWidth="12.6640625" defaultRowHeight="15.75" customHeight="1"/>
  <cols>
    <col bestFit="1" customWidth="1" min="1" max="1" style="1" width="12.04296875"/>
    <col bestFit="1" customWidth="1" min="2" max="2" style="1" width="10.8125"/>
    <col bestFit="1" customWidth="1" min="3" max="3" style="1" width="11.57421875"/>
    <col bestFit="1" customWidth="1" min="4" max="4" style="1" width="6.5234375"/>
    <col bestFit="1" customWidth="1" min="5" max="5" style="1" width="9.3828125"/>
    <col bestFit="1" customWidth="1" min="6" max="6" style="1" width="6.04296875"/>
    <col bestFit="1" customWidth="1" min="7" max="7" style="1" width="6.8125"/>
    <col bestFit="1" customWidth="1" min="8" max="8" style="1" width="11.421875"/>
    <col min="9" max="16384" style="1" width="12.6640625"/>
  </cols>
  <sheetData>
    <row r="1" ht="15.75">
      <c r="A1" s="7"/>
      <c r="B1" s="7"/>
      <c r="C1" s="7"/>
      <c r="D1" s="7"/>
      <c r="E1" s="8"/>
      <c r="F1" s="8"/>
      <c r="G1" s="8"/>
    </row>
    <row r="2" ht="15.75">
      <c r="A2" s="9" t="s">
        <v>31</v>
      </c>
      <c r="B2" s="5"/>
      <c r="C2" s="5"/>
      <c r="D2" s="5"/>
      <c r="E2" s="8"/>
      <c r="F2" s="8"/>
      <c r="G2" s="8"/>
    </row>
    <row r="3" ht="15.75" customHeight="1">
      <c r="A3" s="10" t="s">
        <v>32</v>
      </c>
      <c r="B3" s="10" t="s">
        <v>33</v>
      </c>
      <c r="C3" s="10" t="s">
        <v>34</v>
      </c>
      <c r="D3" s="10" t="s">
        <v>35</v>
      </c>
      <c r="E3" s="8"/>
      <c r="F3" s="8"/>
      <c r="G3" s="8"/>
    </row>
    <row r="4" ht="15.75" customHeight="1">
      <c r="A4" s="11" t="s">
        <v>36</v>
      </c>
      <c r="B4" s="11" t="str">
        <f>_xlfn.XLOOKUP(A4,B10:B15,C10:C15)</f>
        <v>NutriFix</v>
      </c>
      <c r="C4" s="11" t="str">
        <f>_xlfn.XLOOKUP(A4,B10:B15,A10:A15,)</f>
        <v>Крупы</v>
      </c>
      <c r="D4" s="11">
        <f>_xlfn.XLOOKUP(A4,B18:G18,B19:G19)</f>
        <v>1.3999999999999999</v>
      </c>
      <c r="E4" s="8"/>
      <c r="F4" s="8"/>
      <c r="G4" s="8"/>
    </row>
    <row r="5" ht="15.75" customHeight="1">
      <c r="A5" s="11" t="s">
        <v>37</v>
      </c>
      <c r="B5" s="11" t="str">
        <f>_xlfn.XLOOKUP(A5,B10:B15,C10:C15)</f>
        <v>mymeal</v>
      </c>
      <c r="C5" s="11" t="str">
        <f>_xlfn.XLOOKUP(A5,B10:B15,A10:A15)</f>
        <v>Сладости</v>
      </c>
      <c r="D5" s="11">
        <f>_xlfn.XLOOKUP(A5,B18:G18,B19:G19)</f>
        <v>0.55000000000000004</v>
      </c>
      <c r="E5" s="8"/>
      <c r="F5" s="8"/>
      <c r="G5" s="8"/>
    </row>
    <row r="6" ht="15.75" customHeight="1">
      <c r="A6" s="11" t="s">
        <v>38</v>
      </c>
      <c r="B6" s="11" t="str">
        <f>_xlfn.XLOOKUP(A6,B10:B15,C10:C15)</f>
        <v>Sweetables</v>
      </c>
      <c r="C6" s="11" t="str">
        <f>_xlfn.XLOOKUP(A6,B10:B15,A10:A15)</f>
        <v>Сухофрукты</v>
      </c>
      <c r="D6" s="11">
        <f>_xlfn.XLOOKUP(G18,B18:G18,B19:G19)</f>
        <v>1.1899999999999999</v>
      </c>
      <c r="E6" s="8"/>
      <c r="F6" s="8"/>
      <c r="G6" s="8"/>
    </row>
    <row r="7" ht="15.75" customHeight="1">
      <c r="A7" s="8"/>
      <c r="B7" s="8"/>
      <c r="C7" s="8"/>
      <c r="D7" s="8"/>
      <c r="E7" s="8"/>
      <c r="F7" s="8"/>
      <c r="G7" s="8"/>
    </row>
    <row r="8" ht="15.75" customHeight="1">
      <c r="A8" s="9" t="s">
        <v>39</v>
      </c>
      <c r="B8" s="5"/>
      <c r="C8" s="5"/>
      <c r="D8" s="8"/>
      <c r="E8" s="8"/>
      <c r="F8" s="8"/>
      <c r="G8" s="8"/>
    </row>
    <row r="9" ht="15.75" customHeight="1">
      <c r="A9" s="12" t="s">
        <v>34</v>
      </c>
      <c r="B9" s="12" t="s">
        <v>32</v>
      </c>
      <c r="C9" s="12" t="s">
        <v>33</v>
      </c>
      <c r="E9" s="8"/>
      <c r="F9" s="8"/>
      <c r="G9" s="8"/>
    </row>
    <row r="10" ht="15.75" customHeight="1">
      <c r="A10" s="11" t="s">
        <v>40</v>
      </c>
      <c r="B10" s="11" t="s">
        <v>36</v>
      </c>
      <c r="C10" s="11" t="s">
        <v>41</v>
      </c>
      <c r="D10" s="8"/>
      <c r="E10" s="8"/>
      <c r="F10" s="8"/>
      <c r="G10" s="8"/>
    </row>
    <row r="11" ht="15.75" customHeight="1">
      <c r="A11" s="11" t="s">
        <v>40</v>
      </c>
      <c r="B11" s="11" t="s">
        <v>42</v>
      </c>
      <c r="C11" s="11" t="s">
        <v>41</v>
      </c>
      <c r="D11" s="8"/>
      <c r="E11" s="8"/>
      <c r="F11" s="8"/>
      <c r="G11" s="8"/>
    </row>
    <row r="12" ht="15.75" customHeight="1">
      <c r="A12" s="11" t="s">
        <v>43</v>
      </c>
      <c r="B12" s="11" t="s">
        <v>44</v>
      </c>
      <c r="C12" s="11" t="s">
        <v>45</v>
      </c>
      <c r="D12" s="8"/>
      <c r="E12" s="8"/>
      <c r="F12" s="8"/>
      <c r="G12" s="8"/>
    </row>
    <row r="13" ht="15.75" customHeight="1">
      <c r="A13" s="11" t="s">
        <v>43</v>
      </c>
      <c r="B13" s="11" t="s">
        <v>37</v>
      </c>
      <c r="C13" s="11" t="s">
        <v>46</v>
      </c>
      <c r="D13" s="8"/>
      <c r="E13" s="8"/>
      <c r="F13" s="8"/>
      <c r="G13" s="8"/>
      <c r="H13" s="13"/>
    </row>
    <row r="14" ht="15.75" customHeight="1">
      <c r="A14" s="11" t="s">
        <v>47</v>
      </c>
      <c r="B14" s="11" t="s">
        <v>48</v>
      </c>
      <c r="C14" s="11" t="s">
        <v>45</v>
      </c>
      <c r="D14" s="8"/>
      <c r="E14" s="8"/>
      <c r="F14" s="8"/>
      <c r="G14" s="8"/>
    </row>
    <row r="15" ht="15.75" customHeight="1">
      <c r="A15" s="11" t="s">
        <v>47</v>
      </c>
      <c r="B15" s="11" t="s">
        <v>38</v>
      </c>
      <c r="C15" s="11" t="s">
        <v>45</v>
      </c>
      <c r="D15" s="8"/>
      <c r="E15" s="8"/>
      <c r="F15" s="8"/>
      <c r="G15" s="8"/>
    </row>
    <row r="16" ht="15.75" customHeight="1">
      <c r="A16" s="8"/>
      <c r="B16" s="8"/>
      <c r="C16" s="8"/>
      <c r="D16" s="8"/>
      <c r="E16" s="8"/>
      <c r="F16" s="8"/>
      <c r="G16" s="8"/>
    </row>
    <row r="17" ht="15.75" customHeight="1">
      <c r="A17" s="9" t="s">
        <v>49</v>
      </c>
      <c r="B17" s="5"/>
      <c r="C17" s="5"/>
      <c r="D17" s="5"/>
      <c r="E17" s="5"/>
      <c r="F17" s="5"/>
      <c r="G17" s="5"/>
    </row>
    <row r="18" ht="15.75" customHeight="1">
      <c r="A18" s="12" t="s">
        <v>32</v>
      </c>
      <c r="B18" s="14" t="s">
        <v>36</v>
      </c>
      <c r="C18" s="14" t="s">
        <v>42</v>
      </c>
      <c r="D18" s="14" t="s">
        <v>44</v>
      </c>
      <c r="E18" s="14" t="s">
        <v>37</v>
      </c>
      <c r="F18" s="14" t="s">
        <v>48</v>
      </c>
      <c r="G18" s="14" t="s">
        <v>38</v>
      </c>
    </row>
    <row r="19" ht="15.75" customHeight="1">
      <c r="A19" s="12" t="s">
        <v>50</v>
      </c>
      <c r="B19" s="11">
        <v>1.3999999999999999</v>
      </c>
      <c r="C19" s="11">
        <v>0.95999999999999996</v>
      </c>
      <c r="D19" s="11">
        <v>0.65000000000000002</v>
      </c>
      <c r="E19" s="11">
        <v>0.55000000000000004</v>
      </c>
      <c r="F19" s="11">
        <v>0.98999999999999999</v>
      </c>
      <c r="G19" s="11">
        <v>1.1899999999999999</v>
      </c>
    </row>
  </sheetData>
  <mergeCells count="3">
    <mergeCell ref="A2:D2"/>
    <mergeCell ref="A8:C8"/>
    <mergeCell ref="A17:G1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50" workbookViewId="0">
      <selection activeCell="B22" activeCellId="0" sqref="B22"/>
    </sheetView>
  </sheetViews>
  <sheetFormatPr baseColWidth="10" defaultColWidth="12.6640625" defaultRowHeight="15.75" customHeight="1"/>
  <cols>
    <col bestFit="1" customWidth="1" min="1" max="1" style="1" width="9"/>
    <col bestFit="1" customWidth="1" min="2" max="2" style="1" width="25.8515625"/>
    <col bestFit="1" customWidth="1" min="3" max="3" style="1" width="14.7109375"/>
    <col min="4" max="4" style="1" width="12.6640625"/>
    <col bestFit="1" customWidth="1" min="5" max="5" style="1" width="10.61328125"/>
    <col bestFit="1" customWidth="1" min="6" max="6" style="1" width="13.09375"/>
    <col bestFit="1" customWidth="1" min="7" max="7" style="1" width="12.421875"/>
    <col bestFit="1" customWidth="1" min="8" max="8" style="1" width="9"/>
    <col bestFit="1" customWidth="1" min="9" max="9" style="1" width="15.8515625"/>
    <col bestFit="1" customWidth="1" min="10" max="10" style="1" width="13.57421875"/>
    <col bestFit="1" customWidth="1" min="11" max="11" style="1" width="10.8125"/>
    <col min="12" max="16384" style="1" width="12.6640625"/>
  </cols>
  <sheetData>
    <row r="1" ht="15.7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ht="28.5">
      <c r="A2" s="10" t="s">
        <v>51</v>
      </c>
      <c r="B2" s="15" t="s">
        <v>52</v>
      </c>
      <c r="C2" s="15" t="s">
        <v>53</v>
      </c>
      <c r="D2" s="8"/>
      <c r="E2" s="16" t="s">
        <v>54</v>
      </c>
      <c r="F2" s="17" t="s">
        <v>33</v>
      </c>
      <c r="G2" s="17" t="s">
        <v>34</v>
      </c>
      <c r="H2" s="17" t="s">
        <v>32</v>
      </c>
      <c r="I2" s="17" t="s">
        <v>55</v>
      </c>
      <c r="J2" s="17" t="s">
        <v>56</v>
      </c>
      <c r="K2" s="18" t="s">
        <v>57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5.75" customHeight="1">
      <c r="A3" s="11" t="s">
        <v>48</v>
      </c>
      <c r="B3" s="19">
        <f>_xlfn.XLOOKUP(A3,Table_1[Товар],Table_1[Дата])</f>
        <v>44508</v>
      </c>
      <c r="C3" s="19">
        <f>_xlfn.XLOOKUP(A3,Table_1[Товар],Table_1[Дата],"sotib olinmagan",0,-1)</f>
        <v>44525</v>
      </c>
      <c r="D3" s="8"/>
      <c r="E3" s="20">
        <v>44501</v>
      </c>
      <c r="F3" s="21" t="s">
        <v>41</v>
      </c>
      <c r="G3" s="21" t="s">
        <v>40</v>
      </c>
      <c r="H3" s="21" t="s">
        <v>36</v>
      </c>
      <c r="I3" s="21">
        <v>1.3999999999999999</v>
      </c>
      <c r="J3" s="21">
        <v>120</v>
      </c>
      <c r="K3" s="22">
        <v>168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15.75" customHeight="1">
      <c r="A4" s="11" t="s">
        <v>58</v>
      </c>
      <c r="B4" s="19" t="str">
        <f>_xlfn.XLOOKUP(A4,Table_1[Товар],Table_1[Дата],"Sotib olinmagan")</f>
        <v xml:space="preserve">Sotib olinmagan</v>
      </c>
      <c r="C4" s="19" t="str">
        <f>_xlfn.XLOOKUP(A4,Table_1[Товар],Table_1[Дата],"Sotib olinmagan",0,-1)</f>
        <v xml:space="preserve">Sotib olinmagan</v>
      </c>
      <c r="D4" s="8"/>
      <c r="E4" s="20">
        <v>44501</v>
      </c>
      <c r="F4" s="21" t="s">
        <v>41</v>
      </c>
      <c r="G4" s="21" t="s">
        <v>40</v>
      </c>
      <c r="H4" s="21" t="s">
        <v>42</v>
      </c>
      <c r="I4" s="21">
        <v>0.95999999999999996</v>
      </c>
      <c r="J4" s="21">
        <v>130</v>
      </c>
      <c r="K4" s="22">
        <v>124.8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ht="15.75" customHeight="1">
      <c r="A5" s="11" t="s">
        <v>42</v>
      </c>
      <c r="B5" s="19">
        <f>_xlfn.XLOOKUP(A5,Table_1[Товар],Table_1[Дата])</f>
        <v>44501</v>
      </c>
      <c r="C5" s="19">
        <f>_xlfn.XLOOKUP(A5,Table_1[Товар],Table_1[Дата],"sotib olinmagan",0,-1)</f>
        <v>44520</v>
      </c>
      <c r="D5" s="8"/>
      <c r="E5" s="20">
        <v>44502</v>
      </c>
      <c r="F5" s="21" t="s">
        <v>45</v>
      </c>
      <c r="G5" s="21" t="s">
        <v>43</v>
      </c>
      <c r="H5" s="21" t="s">
        <v>44</v>
      </c>
      <c r="I5" s="21">
        <v>0.65000000000000002</v>
      </c>
      <c r="J5" s="21">
        <v>20</v>
      </c>
      <c r="K5" s="22">
        <v>13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ht="15.75" customHeight="1">
      <c r="A6" s="11" t="s">
        <v>37</v>
      </c>
      <c r="B6" s="19">
        <f>_xlfn.XLOOKUP(A6,Table_1[Товар],Table_1[Дата])</f>
        <v>44506</v>
      </c>
      <c r="C6" s="19">
        <f>_xlfn.XLOOKUP(A6,Table_1[Товар],Table_1[Дата],"sotib olinmagan",0,-1)</f>
        <v>44514</v>
      </c>
      <c r="D6" s="8"/>
      <c r="E6" s="20">
        <v>44503</v>
      </c>
      <c r="F6" s="21" t="s">
        <v>41</v>
      </c>
      <c r="G6" s="21" t="s">
        <v>40</v>
      </c>
      <c r="H6" s="21" t="s">
        <v>42</v>
      </c>
      <c r="I6" s="21">
        <v>0.95999999999999996</v>
      </c>
      <c r="J6" s="21">
        <v>108</v>
      </c>
      <c r="K6" s="22">
        <v>103.67999999999999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ht="15.75" customHeight="1">
      <c r="A7" s="8"/>
      <c r="B7" s="8"/>
      <c r="C7" s="8"/>
      <c r="D7" s="8"/>
      <c r="E7" s="20">
        <v>44504</v>
      </c>
      <c r="F7" s="21" t="s">
        <v>41</v>
      </c>
      <c r="G7" s="21" t="s">
        <v>40</v>
      </c>
      <c r="H7" s="21" t="s">
        <v>36</v>
      </c>
      <c r="I7" s="21">
        <v>1.3999999999999999</v>
      </c>
      <c r="J7" s="21">
        <v>216</v>
      </c>
      <c r="K7" s="22">
        <v>302.39999999999998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ht="15.75" customHeight="1">
      <c r="A8" s="8"/>
      <c r="B8" s="8"/>
      <c r="C8" s="8"/>
      <c r="D8" s="8"/>
      <c r="E8" s="20">
        <v>44505</v>
      </c>
      <c r="F8" s="21" t="s">
        <v>45</v>
      </c>
      <c r="G8" s="21" t="s">
        <v>43</v>
      </c>
      <c r="H8" s="21" t="s">
        <v>44</v>
      </c>
      <c r="I8" s="21">
        <v>0.65000000000000002</v>
      </c>
      <c r="J8" s="21">
        <v>83</v>
      </c>
      <c r="K8" s="22">
        <v>53.950000000000003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ht="15.75" customHeight="1">
      <c r="A9" s="8"/>
      <c r="B9" s="8"/>
      <c r="C9" s="8"/>
      <c r="D9" s="8"/>
      <c r="E9" s="20">
        <v>44505</v>
      </c>
      <c r="F9" s="21" t="s">
        <v>41</v>
      </c>
      <c r="G9" s="21" t="s">
        <v>40</v>
      </c>
      <c r="H9" s="21" t="s">
        <v>36</v>
      </c>
      <c r="I9" s="21">
        <v>1.3999999999999999</v>
      </c>
      <c r="J9" s="21">
        <v>203</v>
      </c>
      <c r="K9" s="22">
        <v>284.19999999999999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ht="15.75" customHeight="1">
      <c r="A10" s="8"/>
      <c r="B10" s="8"/>
      <c r="C10" s="8"/>
      <c r="D10" s="8"/>
      <c r="E10" s="20">
        <v>44506</v>
      </c>
      <c r="F10" s="21" t="s">
        <v>46</v>
      </c>
      <c r="G10" s="21" t="s">
        <v>43</v>
      </c>
      <c r="H10" s="21" t="s">
        <v>37</v>
      </c>
      <c r="I10" s="21">
        <v>0.55000000000000004</v>
      </c>
      <c r="J10" s="21">
        <v>11</v>
      </c>
      <c r="K10" s="22">
        <v>6.0500000000000007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ht="15.75" customHeight="1">
      <c r="A11" s="8"/>
      <c r="B11" s="8"/>
      <c r="C11" s="8"/>
      <c r="D11" s="8"/>
      <c r="E11" s="20">
        <v>44508</v>
      </c>
      <c r="F11" s="21" t="s">
        <v>45</v>
      </c>
      <c r="G11" s="21" t="s">
        <v>47</v>
      </c>
      <c r="H11" s="21" t="s">
        <v>48</v>
      </c>
      <c r="I11" s="21">
        <v>0.98999999999999999</v>
      </c>
      <c r="J11" s="21">
        <v>265</v>
      </c>
      <c r="K11" s="22">
        <v>262.35000000000002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ht="15.75" customHeight="1">
      <c r="A12" s="8"/>
      <c r="B12" s="8"/>
      <c r="C12" s="8"/>
      <c r="D12" s="8"/>
      <c r="E12" s="20">
        <v>44509</v>
      </c>
      <c r="F12" s="21" t="s">
        <v>45</v>
      </c>
      <c r="G12" s="21" t="s">
        <v>47</v>
      </c>
      <c r="H12" s="21" t="s">
        <v>38</v>
      </c>
      <c r="I12" s="21">
        <v>1.1899999999999999</v>
      </c>
      <c r="J12" s="21">
        <v>86</v>
      </c>
      <c r="K12" s="22">
        <v>102.33999999999999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15.75" customHeight="1">
      <c r="A13" s="8"/>
      <c r="B13" s="8"/>
      <c r="C13" s="8"/>
      <c r="D13" s="8"/>
      <c r="E13" s="20">
        <v>44511</v>
      </c>
      <c r="F13" s="21" t="s">
        <v>41</v>
      </c>
      <c r="G13" s="21" t="s">
        <v>40</v>
      </c>
      <c r="H13" s="21" t="s">
        <v>36</v>
      </c>
      <c r="I13" s="21">
        <v>1.3999999999999999</v>
      </c>
      <c r="J13" s="21">
        <v>29</v>
      </c>
      <c r="K13" s="22">
        <v>40.599999999999994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15.75" customHeight="1">
      <c r="A14" s="8"/>
      <c r="B14" s="8"/>
      <c r="C14" s="8"/>
      <c r="D14" s="8"/>
      <c r="E14" s="20">
        <v>44512</v>
      </c>
      <c r="F14" s="21" t="s">
        <v>41</v>
      </c>
      <c r="G14" s="21" t="s">
        <v>40</v>
      </c>
      <c r="H14" s="21" t="s">
        <v>36</v>
      </c>
      <c r="I14" s="21">
        <v>1.3999999999999999</v>
      </c>
      <c r="J14" s="21">
        <v>61</v>
      </c>
      <c r="K14" s="22">
        <v>85.399999999999991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15.75" customHeight="1">
      <c r="A15" s="8"/>
      <c r="B15" s="8"/>
      <c r="C15" s="8"/>
      <c r="D15" s="8"/>
      <c r="E15" s="20">
        <v>44514</v>
      </c>
      <c r="F15" s="21" t="s">
        <v>46</v>
      </c>
      <c r="G15" s="21" t="s">
        <v>43</v>
      </c>
      <c r="H15" s="21" t="s">
        <v>37</v>
      </c>
      <c r="I15" s="21">
        <v>0.55000000000000004</v>
      </c>
      <c r="J15" s="21">
        <v>34</v>
      </c>
      <c r="K15" s="22">
        <v>18.700000000000003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15.75" customHeight="1">
      <c r="A16" s="8"/>
      <c r="B16" s="8"/>
      <c r="C16" s="8"/>
      <c r="D16" s="8"/>
      <c r="E16" s="20">
        <v>44520</v>
      </c>
      <c r="F16" s="21" t="s">
        <v>41</v>
      </c>
      <c r="G16" s="21" t="s">
        <v>40</v>
      </c>
      <c r="H16" s="21" t="s">
        <v>42</v>
      </c>
      <c r="I16" s="21">
        <v>0.95999999999999996</v>
      </c>
      <c r="J16" s="21">
        <v>568</v>
      </c>
      <c r="K16" s="22">
        <v>545.27999999999997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15.75" customHeight="1">
      <c r="A17" s="8"/>
      <c r="B17" s="8"/>
      <c r="C17" s="8"/>
      <c r="D17" s="8"/>
      <c r="E17" s="20">
        <v>44525</v>
      </c>
      <c r="F17" s="21" t="s">
        <v>45</v>
      </c>
      <c r="G17" s="21" t="s">
        <v>47</v>
      </c>
      <c r="H17" s="21" t="s">
        <v>48</v>
      </c>
      <c r="I17" s="21">
        <v>0.98999999999999999</v>
      </c>
      <c r="J17" s="21">
        <v>55</v>
      </c>
      <c r="K17" s="22">
        <v>54.450000000000003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15.75" customHeight="1">
      <c r="A18" s="8"/>
      <c r="B18" s="8"/>
      <c r="C18" s="8"/>
      <c r="D18" s="8"/>
      <c r="E18" s="23">
        <v>44527</v>
      </c>
      <c r="F18" s="24" t="s">
        <v>45</v>
      </c>
      <c r="G18" s="24" t="s">
        <v>47</v>
      </c>
      <c r="H18" s="24" t="s">
        <v>38</v>
      </c>
      <c r="I18" s="24">
        <v>1.1899999999999999</v>
      </c>
      <c r="J18" s="24">
        <v>41</v>
      </c>
      <c r="K18" s="25">
        <v>48.789999999999999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ht="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ht="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ht="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ht="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ht="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ht="1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ht="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ht="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ht="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ht="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ht="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ht="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ht="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ht="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ht="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ht="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ht="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ht="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ht="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ht="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ht="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ht="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ht="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ht="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ht="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ht="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ht="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ht="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ht="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ht="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ht="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ht="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ht="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ht="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ht="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ht="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ht="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ht="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ht="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ht="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ht="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ht="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ht="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ht="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ht="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ht="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ht="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ht="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ht="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ht="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ht="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ht="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ht="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ht="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ht="1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ht="1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ht="1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ht="1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ht="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ht="1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ht="1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ht="1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ht="1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ht="1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ht="1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ht="1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ht="1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ht="1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ht="1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ht="1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ht="1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ht="1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ht="1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ht="1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ht="1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ht="1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ht="1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ht="1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ht="1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ht="1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ht="1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ht="1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ht="1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ht="1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ht="1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ht="1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ht="1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ht="1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ht="1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ht="1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1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ht="1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ht="1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ht="1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ht="1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ht="1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ht="1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ht="1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ht="1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ht="1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ht="1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ht="1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ht="1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ht="1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ht="1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1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ht="1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ht="1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ht="1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ht="1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ht="1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ht="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ht="1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ht="1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ht="1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ht="1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ht="1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ht="1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ht="1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ht="1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1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ht="1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ht="1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ht="1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ht="1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ht="1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ht="1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ht="1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ht="1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ht="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ht="1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ht="1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ht="1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ht="1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ht="1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ht="1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ht="1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ht="1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ht="1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ht="1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ht="1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ht="1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ht="1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ht="1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ht="1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ht="1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ht="1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ht="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ht="1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ht="1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1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ht="1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ht="1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ht="1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ht="1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ht="1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ht="1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ht="1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ht="1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ht="1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ht="1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ht="1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ht="1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ht="1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ht="1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ht="1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ht="1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ht="1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ht="1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ht="1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ht="1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ht="1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ht="1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ht="1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ht="1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ht="1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ht="1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ht="1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ht="1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ht="1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ht="1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ht="1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ht="1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ht="1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ht="1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ht="1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ht="1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ht="1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ht="1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ht="1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ht="1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ht="1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ht="1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ht="1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ht="1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ht="1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ht="1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ht="1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ht="1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ht="1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ht="1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ht="1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ht="1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ht="1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ht="1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ht="1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ht="1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ht="1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ht="1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ht="1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ht="1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ht="1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ht="1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ht="1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ht="1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ht="1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ht="1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ht="1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ht="1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ht="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ht="1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ht="1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ht="1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ht="1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ht="1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ht="1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ht="1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ht="1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ht="1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ht="1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ht="1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ht="1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ht="1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ht="1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ht="1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ht="1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ht="1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ht="1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ht="1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ht="1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ht="1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ht="1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ht="1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ht="1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ht="1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ht="1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ht="1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ht="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ht="1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ht="1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ht="1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ht="1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ht="1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ht="1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ht="1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ht="1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ht="1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ht="1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ht="1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ht="1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ht="1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ht="1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ht="1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ht="1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ht="1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ht="1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ht="1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ht="1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ht="1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ht="1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ht="1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ht="1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ht="1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ht="1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ht="1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ht="1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ht="1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ht="1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ht="1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ht="1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ht="1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ht="1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ht="1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ht="1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ht="1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ht="1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ht="1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ht="1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ht="1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ht="1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ht="1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ht="1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ht="1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ht="1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ht="1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ht="1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ht="1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ht="1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ht="1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ht="1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ht="1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ht="1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ht="1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ht="1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ht="1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ht="1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ht="1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ht="1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ht="1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ht="1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ht="1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ht="1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ht="1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ht="1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ht="1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ht="1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ht="1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ht="1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ht="1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ht="1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ht="1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ht="1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ht="1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ht="1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ht="1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ht="1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ht="1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ht="1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ht="1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ht="1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ht="1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ht="1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ht="1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ht="1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ht="1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ht="1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ht="1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ht="1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ht="1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ht="1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ht="1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ht="1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ht="1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ht="1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ht="1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ht="1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ht="1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ht="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ht="1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ht="1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ht="1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ht="1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ht="1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ht="1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ht="1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ht="1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ht="1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ht="1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ht="1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ht="1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ht="1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ht="1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ht="1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ht="1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ht="1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ht="1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ht="1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ht="1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ht="1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ht="1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ht="1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ht="1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ht="1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ht="1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ht="1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ht="1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ht="1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ht="1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ht="1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ht="1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ht="1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ht="1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ht="1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ht="1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ht="1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ht="1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ht="1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ht="1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ht="1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ht="1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ht="1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ht="1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ht="1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ht="1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ht="1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ht="1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ht="1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ht="1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ht="1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ht="1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ht="1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ht="1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ht="1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ht="1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ht="1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ht="1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ht="1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ht="1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ht="1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ht="1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ht="1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ht="1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ht="1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ht="1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ht="1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ht="1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ht="1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ht="1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ht="1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ht="1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ht="1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ht="1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ht="1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ht="1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ht="1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ht="1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ht="1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ht="1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ht="1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ht="1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ht="1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ht="1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ht="1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ht="1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ht="1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ht="1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ht="1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ht="1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ht="1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ht="1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ht="1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ht="1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ht="1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ht="1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ht="1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ht="1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ht="1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ht="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ht="1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ht="1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ht="1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ht="1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ht="1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ht="1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ht="1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ht="1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ht="1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ht="1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ht="1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ht="1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ht="1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ht="1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ht="1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ht="1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ht="1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ht="1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ht="1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ht="1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ht="1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ht="1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ht="1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ht="1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ht="1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ht="1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ht="1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ht="1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ht="1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ht="1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ht="1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ht="1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ht="1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ht="1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ht="1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ht="1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ht="1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ht="1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ht="1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ht="1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ht="1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ht="1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ht="1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ht="1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ht="1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ht="1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ht="1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ht="1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ht="1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ht="1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ht="1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ht="1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ht="1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ht="1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ht="1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ht="1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ht="1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ht="1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ht="1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ht="1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ht="1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ht="1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ht="1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ht="1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ht="1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ht="1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ht="1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ht="1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ht="1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ht="1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ht="1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ht="1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ht="1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ht="1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ht="1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ht="1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ht="1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ht="1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ht="1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ht="1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ht="1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ht="1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ht="1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ht="1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ht="1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ht="1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ht="1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ht="1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ht="1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ht="1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ht="1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ht="1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ht="1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ht="1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ht="1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ht="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ht="1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ht="1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ht="1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ht="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ht="1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ht="1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ht="1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ht="1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ht="1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ht="1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ht="1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ht="1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ht="1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ht="1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ht="1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ht="1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ht="1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ht="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ht="1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ht="1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ht="1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ht="1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ht="1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ht="1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ht="1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ht="1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ht="1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ht="1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ht="1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ht="1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ht="1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ht="1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ht="1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ht="1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ht="1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ht="1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ht="1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ht="1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ht="1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ht="1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ht="1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ht="1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ht="1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ht="1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ht="1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ht="1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ht="1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ht="1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ht="1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ht="1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ht="1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ht="1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ht="1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ht="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ht="1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ht="1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ht="1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ht="1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ht="1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ht="1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ht="1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ht="1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ht="1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ht="1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ht="1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ht="1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ht="1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ht="1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ht="1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ht="1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ht="1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ht="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ht="1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ht="1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ht="1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ht="1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ht="1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ht="1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ht="1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ht="1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ht="1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ht="1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ht="1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ht="1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ht="1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ht="1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ht="1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ht="1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ht="1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ht="1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ht="1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ht="1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ht="1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ht="1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ht="1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ht="1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ht="1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ht="1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ht="1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ht="1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ht="1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ht="1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ht="1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ht="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ht="1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ht="1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ht="1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ht="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ht="1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ht="1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ht="1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ht="1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ht="1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ht="1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ht="1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ht="1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ht="1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ht="1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ht="1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ht="1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ht="1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ht="1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ht="1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ht="1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ht="1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ht="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ht="1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ht="1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ht="1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ht="1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ht="1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ht="1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ht="1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ht="1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ht="1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ht="1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ht="1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ht="1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ht="1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ht="1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ht="1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ht="1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ht="1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ht="1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ht="1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ht="1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ht="1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ht="1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ht="1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ht="1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ht="1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ht="1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ht="1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ht="1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ht="1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ht="1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ht="1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ht="1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ht="1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ht="1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ht="1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ht="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ht="1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ht="1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ht="1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ht="1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ht="1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ht="1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ht="1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ht="1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ht="1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ht="1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ht="1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ht="1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ht="1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ht="1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ht="1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ht="1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ht="1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ht="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ht="1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ht="1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ht="1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ht="1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ht="1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ht="1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ht="1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ht="1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ht="1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ht="1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ht="1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ht="1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ht="1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ht="1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ht="1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ht="1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ht="1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ht="1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ht="1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ht="1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ht="1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ht="1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ht="1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ht="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ht="1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ht="1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ht="1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ht="1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ht="1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ht="1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ht="1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ht="1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ht="1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ht="1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ht="1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ht="1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ht="1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ht="1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ht="1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ht="1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ht="1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ht="1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ht="1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ht="1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ht="1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ht="1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ht="1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ht="1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ht="1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ht="1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ht="1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ht="1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ht="1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ht="1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ht="1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ht="1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ht="1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ht="1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ht="1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ht="1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ht="1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ht="1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ht="1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ht="1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ht="1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ht="1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ht="1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ht="1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ht="1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ht="1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ht="1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ht="1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ht="1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ht="1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ht="1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ht="1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ht="1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ht="1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ht="1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ht="1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ht="1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ht="1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ht="1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ht="1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ht="1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ht="1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ht="1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ht="1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ht="1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ht="1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ht="1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ht="1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ht="1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ht="1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ht="1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ht="1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ht="1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ht="1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ht="1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ht="1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ht="1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ht="1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ht="1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ht="1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ht="1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ht="1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ht="1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ht="1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ht="1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ht="1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ht="1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ht="1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ht="1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ht="1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ht="1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ht="1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ht="1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ht="1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ht="1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ht="1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ht="1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ht="1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ht="1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ht="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ht="1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ht="1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ht="1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ht="1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ht="1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ht="1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ht="1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ht="1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ht="1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ht="1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ht="1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ht="1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ht="1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ht="1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ht="1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ht="1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ht="1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ht="1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ht="1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ht="1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ht="1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ht="1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ht="1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ht="1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ht="1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ht="1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ht="1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ht="1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ht="1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ht="1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ht="1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ht="1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ht="1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ht="1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ht="1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ht="1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ht="1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ht="1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ht="1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ht="1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ht="1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ht="1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ht="1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ht="1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ht="1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ht="1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ht="1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ht="1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ht="1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ht="1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ht="1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ht="1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ht="1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ht="1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ht="1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ht="1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ht="1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ht="1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ht="1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ht="1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ht="1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ht="1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ht="1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ht="1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ht="1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ht="1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ht="1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ht="1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ht="1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ht="1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ht="1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ht="1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ht="1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ht="1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ht="1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ht="1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ht="1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ht="1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ht="1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ht="1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ht="1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ht="1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ht="1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ht="1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 ht="1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72" workbookViewId="0">
      <selection activeCell="D17" activeCellId="0" sqref="D17"/>
    </sheetView>
  </sheetViews>
  <sheetFormatPr baseColWidth="10" defaultColWidth="12.6640625" defaultRowHeight="15.75" customHeight="1"/>
  <cols>
    <col bestFit="1" customWidth="1" min="1" max="1" style="1" width="9.83203125"/>
    <col bestFit="1" customWidth="1" min="2" max="2" style="1" width="4"/>
    <col customWidth="1" min="3" max="3" style="1" width="11.6640625"/>
    <col min="4" max="4" style="1" width="12.6640625"/>
    <col bestFit="1" customWidth="1" min="5" max="5" style="1" width="4"/>
    <col bestFit="1" customWidth="1" min="6" max="6" style="1" width="5.33203125"/>
    <col min="7" max="16384" style="1" width="12.6640625"/>
  </cols>
  <sheetData>
    <row r="1" ht="15.7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ht="15.75" customHeight="1">
      <c r="A2" s="26" t="s">
        <v>59</v>
      </c>
      <c r="B2" s="26" t="s">
        <v>60</v>
      </c>
      <c r="C2" s="26" t="s">
        <v>61</v>
      </c>
      <c r="D2" s="8"/>
      <c r="E2" s="27" t="s">
        <v>60</v>
      </c>
      <c r="F2" s="27" t="s">
        <v>61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5.75" customHeight="1">
      <c r="A3" s="28" t="s">
        <v>62</v>
      </c>
      <c r="B3" s="28">
        <v>75</v>
      </c>
      <c r="C3" s="28">
        <f t="shared" ref="C3:C22" si="0">_xlfn.XLOOKUP(B3, $E$3:$E$6, $F$3:$F$6, , -1)</f>
        <v>4</v>
      </c>
      <c r="D3" s="8"/>
      <c r="E3" s="29">
        <v>0</v>
      </c>
      <c r="F3" s="29">
        <v>2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15.75" customHeight="1">
      <c r="A4" s="29" t="s">
        <v>63</v>
      </c>
      <c r="B4" s="29">
        <v>86</v>
      </c>
      <c r="C4" s="28">
        <f t="shared" si="0"/>
        <v>4</v>
      </c>
      <c r="D4" s="8"/>
      <c r="E4" s="29">
        <v>60</v>
      </c>
      <c r="F4" s="29">
        <v>3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ht="15.75" customHeight="1">
      <c r="A5" s="29" t="s">
        <v>64</v>
      </c>
      <c r="B5" s="29">
        <v>96</v>
      </c>
      <c r="C5" s="28">
        <f t="shared" si="0"/>
        <v>5</v>
      </c>
      <c r="D5" s="8"/>
      <c r="E5" s="29">
        <v>75</v>
      </c>
      <c r="F5" s="29">
        <v>4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ht="15.75" customHeight="1">
      <c r="A6" s="29" t="s">
        <v>65</v>
      </c>
      <c r="B6" s="29">
        <v>94</v>
      </c>
      <c r="C6" s="28">
        <f t="shared" si="0"/>
        <v>5</v>
      </c>
      <c r="D6" s="8"/>
      <c r="E6" s="30">
        <v>90</v>
      </c>
      <c r="F6" s="30">
        <v>5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ht="15.75" customHeight="1">
      <c r="A7" s="29" t="s">
        <v>66</v>
      </c>
      <c r="B7" s="29">
        <v>53</v>
      </c>
      <c r="C7" s="28">
        <f t="shared" si="0"/>
        <v>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ht="15.75" customHeight="1">
      <c r="A8" s="29" t="s">
        <v>67</v>
      </c>
      <c r="B8" s="29">
        <v>75</v>
      </c>
      <c r="C8" s="28">
        <f t="shared" si="0"/>
        <v>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ht="15.75" customHeight="1">
      <c r="A9" s="29" t="s">
        <v>68</v>
      </c>
      <c r="B9" s="29">
        <v>99</v>
      </c>
      <c r="C9" s="28">
        <f t="shared" si="0"/>
        <v>5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ht="15.75" customHeight="1">
      <c r="A10" s="29" t="s">
        <v>69</v>
      </c>
      <c r="B10" s="29">
        <v>100</v>
      </c>
      <c r="C10" s="28">
        <f t="shared" si="0"/>
        <v>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ht="15.75" customHeight="1">
      <c r="A11" s="29" t="s">
        <v>70</v>
      </c>
      <c r="B11" s="29">
        <v>64</v>
      </c>
      <c r="C11" s="28">
        <f t="shared" si="0"/>
        <v>3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ht="15.75" customHeight="1">
      <c r="A12" s="29" t="s">
        <v>71</v>
      </c>
      <c r="B12" s="29">
        <v>45</v>
      </c>
      <c r="C12" s="28">
        <f t="shared" si="0"/>
        <v>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15.75" customHeight="1">
      <c r="A13" s="29" t="s">
        <v>72</v>
      </c>
      <c r="B13" s="29">
        <v>80</v>
      </c>
      <c r="C13" s="28">
        <f t="shared" si="0"/>
        <v>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15.75" customHeight="1">
      <c r="A14" s="29" t="s">
        <v>73</v>
      </c>
      <c r="B14" s="29">
        <v>73</v>
      </c>
      <c r="C14" s="28">
        <f t="shared" si="0"/>
        <v>3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15.75" customHeight="1">
      <c r="A15" s="29" t="s">
        <v>74</v>
      </c>
      <c r="B15" s="29">
        <v>83</v>
      </c>
      <c r="C15" s="28">
        <f t="shared" si="0"/>
        <v>4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15.75" customHeight="1">
      <c r="A16" s="29" t="s">
        <v>75</v>
      </c>
      <c r="B16" s="29">
        <v>64</v>
      </c>
      <c r="C16" s="28">
        <f t="shared" si="0"/>
        <v>3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15.75" customHeight="1">
      <c r="A17" s="29" t="s">
        <v>76</v>
      </c>
      <c r="B17" s="29">
        <v>40</v>
      </c>
      <c r="C17" s="28">
        <f t="shared" si="0"/>
        <v>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15.75" customHeight="1">
      <c r="A18" s="29" t="s">
        <v>77</v>
      </c>
      <c r="B18" s="29">
        <v>74</v>
      </c>
      <c r="C18" s="28">
        <f t="shared" si="0"/>
        <v>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15.75" customHeight="1">
      <c r="A19" s="29" t="s">
        <v>78</v>
      </c>
      <c r="B19" s="29">
        <v>42</v>
      </c>
      <c r="C19" s="28">
        <f t="shared" si="0"/>
        <v>2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15.75" customHeight="1">
      <c r="A20" s="29" t="s">
        <v>79</v>
      </c>
      <c r="B20" s="29">
        <v>90</v>
      </c>
      <c r="C20" s="28">
        <f t="shared" si="0"/>
        <v>5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5.75" customHeight="1">
      <c r="A21" s="29" t="s">
        <v>80</v>
      </c>
      <c r="B21" s="29">
        <v>89</v>
      </c>
      <c r="C21" s="28">
        <f t="shared" si="0"/>
        <v>4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5.75" customHeight="1">
      <c r="A22" s="30" t="s">
        <v>81</v>
      </c>
      <c r="B22" s="30">
        <v>81</v>
      </c>
      <c r="C22" s="28">
        <f t="shared" si="0"/>
        <v>4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ht="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ht="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ht="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ht="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ht="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ht="1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ht="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ht="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ht="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ht="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ht="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ht="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ht="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ht="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ht="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ht="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ht="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ht="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ht="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ht="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ht="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ht="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ht="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ht="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ht="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ht="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ht="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ht="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ht="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ht="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ht="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ht="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ht="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ht="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ht="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ht="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ht="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ht="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ht="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ht="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ht="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ht="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ht="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ht="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ht="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ht="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ht="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ht="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ht="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ht="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ht="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ht="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ht="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ht="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ht="1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ht="1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ht="1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ht="1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ht="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ht="1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ht="1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ht="1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ht="1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ht="1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ht="1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ht="1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ht="1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ht="1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ht="1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ht="1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ht="1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ht="1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ht="1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ht="1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ht="1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ht="1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ht="1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ht="1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ht="1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ht="1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ht="1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ht="1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ht="1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ht="1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ht="1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ht="1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ht="1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ht="1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ht="1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ht="1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1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ht="1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ht="1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ht="1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ht="1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ht="1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ht="1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ht="1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ht="1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ht="1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ht="1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ht="1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ht="1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ht="1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ht="1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1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ht="1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ht="1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ht="1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ht="1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ht="1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ht="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ht="1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ht="1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ht="1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ht="1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ht="1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ht="1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ht="1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ht="1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1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ht="1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ht="1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ht="1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ht="1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ht="1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ht="1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ht="1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ht="1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ht="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ht="1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ht="1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ht="1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ht="1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ht="1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ht="1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ht="1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ht="1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ht="1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ht="1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ht="1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ht="1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ht="1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ht="1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ht="1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ht="1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ht="1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ht="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ht="1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ht="1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1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ht="1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ht="1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ht="1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ht="1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ht="1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ht="1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ht="1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ht="1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ht="1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ht="1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ht="1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ht="1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ht="1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ht="1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ht="1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ht="1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ht="1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ht="1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ht="1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ht="1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ht="1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ht="1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ht="1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ht="1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ht="1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ht="1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ht="1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ht="1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ht="1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ht="1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ht="1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ht="1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ht="1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ht="1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ht="1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ht="1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ht="1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ht="1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ht="1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ht="1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ht="1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ht="1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ht="1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ht="1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ht="1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ht="1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ht="1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ht="1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ht="1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ht="1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ht="1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ht="1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ht="1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ht="1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ht="1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ht="1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ht="1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ht="1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ht="1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ht="1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ht="1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ht="1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ht="1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ht="1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ht="1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ht="1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ht="1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ht="1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ht="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ht="1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ht="1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ht="1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ht="1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ht="1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ht="1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ht="1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ht="1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ht="1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ht="1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ht="1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ht="1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ht="1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ht="1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ht="1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ht="1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ht="1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ht="1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ht="1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ht="1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ht="1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ht="1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ht="1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ht="1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ht="1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ht="1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ht="1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ht="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ht="1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ht="1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ht="1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ht="1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ht="1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ht="1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ht="1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ht="1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ht="1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ht="1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ht="1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ht="1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ht="1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ht="1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ht="1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ht="1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ht="1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ht="1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ht="1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ht="1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ht="1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ht="1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ht="1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ht="1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ht="1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ht="1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ht="1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ht="1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ht="1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ht="1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ht="1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ht="1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ht="1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ht="1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ht="1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ht="1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ht="1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ht="1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ht="1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ht="1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ht="1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ht="1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ht="1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ht="1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ht="1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ht="1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ht="1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ht="1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ht="1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ht="1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ht="1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ht="1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ht="1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ht="1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ht="1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ht="1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ht="1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ht="1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ht="1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ht="1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ht="1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ht="1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ht="1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ht="1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ht="1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ht="1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ht="1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ht="1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ht="1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ht="1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ht="1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ht="1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ht="1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ht="1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ht="1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ht="1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ht="1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ht="1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ht="1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ht="1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ht="1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ht="1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ht="1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ht="1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ht="1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ht="1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ht="1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ht="1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ht="1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ht="1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ht="1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ht="1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ht="1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ht="1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ht="1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ht="1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ht="1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ht="1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ht="1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ht="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ht="1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ht="1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ht="1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ht="1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ht="1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ht="1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ht="1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ht="1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ht="1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ht="1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ht="1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ht="1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ht="1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ht="1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ht="1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ht="1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ht="1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ht="1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ht="1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ht="1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ht="1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ht="1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ht="1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ht="1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ht="1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ht="1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ht="1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ht="1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ht="1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ht="1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ht="1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ht="1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ht="1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ht="1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ht="1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ht="1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ht="1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ht="1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ht="1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ht="1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ht="1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ht="1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ht="1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ht="1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ht="1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ht="1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ht="1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ht="1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ht="1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ht="1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ht="1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ht="1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ht="1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ht="1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ht="1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ht="1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ht="1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ht="1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ht="1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ht="1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ht="1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ht="1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ht="1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ht="1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ht="1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ht="1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ht="1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ht="1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ht="1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ht="1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ht="1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ht="1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ht="1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ht="1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ht="1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ht="1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ht="1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ht="1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ht="1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ht="1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ht="1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ht="1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ht="1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ht="1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ht="1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ht="1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ht="1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ht="1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ht="1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ht="1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ht="1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ht="1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ht="1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ht="1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ht="1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ht="1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ht="1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ht="1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ht="1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ht="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ht="1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ht="1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ht="1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ht="1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ht="1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ht="1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ht="1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ht="1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ht="1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ht="1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ht="1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ht="1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ht="1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ht="1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ht="1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ht="1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ht="1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ht="1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ht="1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ht="1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ht="1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ht="1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ht="1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ht="1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ht="1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ht="1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ht="1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ht="1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ht="1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ht="1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ht="1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ht="1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ht="1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ht="1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ht="1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ht="1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ht="1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ht="1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ht="1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ht="1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ht="1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ht="1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ht="1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ht="1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ht="1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ht="1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ht="1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ht="1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ht="1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ht="1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ht="1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ht="1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ht="1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ht="1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ht="1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ht="1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ht="1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ht="1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ht="1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ht="1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ht="1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ht="1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ht="1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ht="1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ht="1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ht="1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ht="1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ht="1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ht="1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ht="1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ht="1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ht="1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ht="1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ht="1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ht="1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ht="1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ht="1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ht="1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ht="1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ht="1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ht="1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ht="1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ht="1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ht="1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ht="1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ht="1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ht="1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ht="1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ht="1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ht="1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ht="1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ht="1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ht="1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ht="1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ht="1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ht="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ht="1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ht="1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ht="1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ht="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ht="1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ht="1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ht="1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ht="1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ht="1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ht="1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ht="1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ht="1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ht="1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ht="1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ht="1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ht="1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ht="1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ht="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ht="1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ht="1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ht="1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ht="1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ht="1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ht="1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ht="1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ht="1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ht="1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ht="1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ht="1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ht="1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ht="1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ht="1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ht="1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ht="1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ht="1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ht="1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ht="1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ht="1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ht="1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ht="1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ht="1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ht="1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ht="1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ht="1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ht="1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ht="1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ht="1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ht="1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ht="1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ht="1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ht="1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ht="1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ht="1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ht="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ht="1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ht="1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ht="1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ht="1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ht="1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ht="1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ht="1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ht="1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ht="1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ht="1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ht="1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ht="1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ht="1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ht="1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ht="1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ht="1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ht="1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ht="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ht="1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ht="1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ht="1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ht="1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ht="1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ht="1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ht="1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ht="1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ht="1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ht="1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ht="1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ht="1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ht="1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ht="1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ht="1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ht="1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ht="1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ht="1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ht="1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ht="1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ht="1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ht="1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ht="1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ht="1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ht="1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ht="1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ht="1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ht="1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ht="1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ht="1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ht="1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ht="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ht="1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ht="1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ht="1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ht="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ht="1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ht="1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ht="1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ht="1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ht="1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ht="1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ht="1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ht="1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ht="1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ht="1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ht="1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ht="1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ht="1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ht="1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ht="1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ht="1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ht="1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ht="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ht="1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ht="1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ht="1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ht="1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ht="1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ht="1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ht="1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ht="1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ht="1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ht="1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ht="1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ht="1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ht="1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ht="1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ht="1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ht="1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ht="1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ht="1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ht="1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ht="1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ht="1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ht="1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ht="1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ht="1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ht="1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ht="1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ht="1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ht="1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ht="1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ht="1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ht="1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ht="1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ht="1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ht="1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ht="1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ht="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ht="1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ht="1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ht="1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ht="1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ht="1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ht="1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ht="1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ht="1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ht="1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ht="1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ht="1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ht="1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ht="1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ht="1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ht="1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ht="1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ht="1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ht="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ht="1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ht="1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ht="1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ht="1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ht="1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ht="1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ht="1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ht="1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ht="1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ht="1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ht="1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ht="1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ht="1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ht="1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ht="1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ht="1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ht="1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ht="1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ht="1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ht="1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ht="1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ht="1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ht="1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ht="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ht="1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ht="1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ht="1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ht="1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ht="1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ht="1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ht="1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ht="1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ht="1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ht="1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ht="1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ht="1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ht="1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ht="1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ht="1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ht="1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ht="1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ht="1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ht="1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ht="1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ht="1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ht="1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ht="1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ht="1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ht="1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ht="1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ht="1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ht="1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ht="1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ht="1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ht="1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ht="1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ht="1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ht="1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ht="1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ht="1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ht="1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ht="1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ht="1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ht="1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ht="1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ht="1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ht="1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ht="1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ht="1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ht="1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ht="1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ht="1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ht="1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ht="1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ht="1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ht="1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ht="1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ht="1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ht="1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ht="1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ht="1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ht="1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ht="1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ht="1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ht="1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ht="1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ht="1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ht="1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ht="1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ht="1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ht="1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ht="1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ht="1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ht="1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ht="1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ht="1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ht="1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ht="1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ht="1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ht="1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ht="1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ht="1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ht="1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ht="1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ht="1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ht="1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ht="1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ht="1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ht="1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ht="1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ht="1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ht="1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ht="1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ht="1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ht="1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ht="1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ht="1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ht="1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ht="1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ht="1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ht="1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ht="1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ht="1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ht="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ht="1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ht="1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ht="1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ht="1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ht="1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ht="1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ht="1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ht="1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ht="1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ht="1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ht="1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ht="1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ht="1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ht="1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ht="1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ht="1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ht="1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ht="1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ht="1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ht="1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ht="1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ht="1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ht="1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ht="1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ht="1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ht="1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ht="1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ht="1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ht="1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ht="1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ht="1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ht="1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ht="1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ht="1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ht="1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ht="1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ht="1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ht="1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ht="1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ht="1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ht="1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ht="1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ht="1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ht="1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ht="1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ht="1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ht="1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ht="1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ht="1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ht="1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ht="1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ht="1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ht="1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ht="1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ht="1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ht="1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ht="1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ht="1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ht="1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ht="1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ht="1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ht="1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ht="1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ht="1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ht="1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ht="1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ht="1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ht="1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ht="1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ht="1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ht="1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ht="1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ht="1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ht="1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ht="1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ht="1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ht="1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ht="1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ht="1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ht="1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ht="1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ht="1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ht="1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ht="1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 ht="1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83" workbookViewId="0">
      <selection activeCell="E3" activeCellId="0" sqref="E3:E8"/>
    </sheetView>
  </sheetViews>
  <sheetFormatPr baseColWidth="10" defaultColWidth="12.6640625" defaultRowHeight="15.75" customHeight="1"/>
  <cols>
    <col bestFit="1" customWidth="1" min="1" max="1" style="1" width="18.83203125"/>
    <col bestFit="1" customWidth="1" min="2" max="2" style="1" width="8.83203125"/>
    <col min="3" max="3" style="1" width="12.6640625"/>
    <col bestFit="1" customWidth="1" min="4" max="4" style="1" width="14"/>
    <col customWidth="1" min="5" max="5" style="1" width="14"/>
    <col min="6" max="16384" style="1" width="12.6640625"/>
  </cols>
  <sheetData>
    <row r="1" ht="15.7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ht="15.75" customHeight="1">
      <c r="A2" s="10" t="s">
        <v>82</v>
      </c>
      <c r="B2" s="10" t="s">
        <v>83</v>
      </c>
      <c r="C2" s="8"/>
      <c r="D2" s="10" t="s">
        <v>82</v>
      </c>
      <c r="E2" s="10" t="s">
        <v>83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5.75" customHeight="1">
      <c r="A3" s="11" t="s">
        <v>84</v>
      </c>
      <c r="B3" s="31">
        <v>674.08000000000004</v>
      </c>
      <c r="C3" s="8"/>
      <c r="D3" s="11" t="s">
        <v>85</v>
      </c>
      <c r="E3" s="31">
        <f t="shared" ref="E3:E8" si="1">_xlfn.XLOOKUP("*" &amp; D3 &amp; "*", $A$3:$A$11, $B$3:$B$11, "Topilmadi", 2)</f>
        <v>674.08000000000004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15.75" customHeight="1">
      <c r="A4" s="11" t="s">
        <v>86</v>
      </c>
      <c r="B4" s="31">
        <v>2973.6599999999999</v>
      </c>
      <c r="C4" s="8"/>
      <c r="D4" s="11" t="s">
        <v>87</v>
      </c>
      <c r="E4" s="31">
        <f t="shared" si="1"/>
        <v>2973.6599999999999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ht="15.75" customHeight="1">
      <c r="A5" s="11" t="s">
        <v>88</v>
      </c>
      <c r="B5" s="31">
        <v>3477</v>
      </c>
      <c r="C5" s="8"/>
      <c r="D5" s="11" t="s">
        <v>89</v>
      </c>
      <c r="E5" s="31">
        <f t="shared" si="1"/>
        <v>3477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ht="15.75" customHeight="1">
      <c r="A6" s="11" t="s">
        <v>90</v>
      </c>
      <c r="B6" s="31">
        <v>150.96000000000001</v>
      </c>
      <c r="C6" s="8"/>
      <c r="D6" s="11" t="s">
        <v>91</v>
      </c>
      <c r="E6" s="31">
        <f t="shared" si="1"/>
        <v>150.96000000000001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ht="15.75" customHeight="1">
      <c r="A7" s="11" t="s">
        <v>92</v>
      </c>
      <c r="B7" s="31">
        <v>47.329999999999998</v>
      </c>
      <c r="C7" s="8"/>
      <c r="D7" s="11" t="s">
        <v>93</v>
      </c>
      <c r="E7" s="31">
        <f t="shared" si="1"/>
        <v>336.44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ht="15.75" customHeight="1">
      <c r="A8" s="11" t="s">
        <v>94</v>
      </c>
      <c r="B8" s="31">
        <v>64.409999999999997</v>
      </c>
      <c r="C8" s="8"/>
      <c r="D8" s="11" t="s">
        <v>95</v>
      </c>
      <c r="E8" s="31">
        <f t="shared" si="1"/>
        <v>1229.9100000000001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ht="15.75" customHeight="1">
      <c r="A9" s="11" t="s">
        <v>96</v>
      </c>
      <c r="B9" s="31">
        <v>58.640000000000001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ht="15.75" customHeight="1">
      <c r="A10" s="11" t="s">
        <v>93</v>
      </c>
      <c r="B10" s="31">
        <v>336.44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ht="15.75" customHeight="1">
      <c r="A11" s="11" t="s">
        <v>97</v>
      </c>
      <c r="B11" s="31">
        <v>1229.9100000000001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ht="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ht="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ht="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ht="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ht="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ht="1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ht="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ht="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ht="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ht="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ht="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ht="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ht="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ht="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ht="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ht="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ht="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ht="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ht="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ht="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ht="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ht="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ht="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ht="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ht="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ht="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ht="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ht="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ht="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ht="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ht="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ht="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ht="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ht="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ht="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ht="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ht="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ht="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ht="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ht="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ht="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ht="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ht="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ht="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ht="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ht="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ht="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ht="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ht="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ht="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ht="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ht="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ht="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ht="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ht="1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ht="1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ht="1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ht="1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ht="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ht="1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ht="1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ht="1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ht="1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ht="1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ht="1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ht="1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ht="1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ht="1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ht="1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ht="1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ht="1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ht="1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ht="1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ht="1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ht="1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ht="1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ht="1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ht="1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ht="1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ht="1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ht="1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ht="1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ht="1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ht="1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ht="1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ht="1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ht="1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ht="1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ht="1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ht="1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1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ht="1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ht="1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ht="1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ht="1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ht="1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ht="1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ht="1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ht="1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ht="1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ht="1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ht="1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ht="1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ht="1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ht="1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1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ht="1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ht="1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ht="1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ht="1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ht="1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ht="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ht="1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ht="1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ht="1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ht="1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ht="1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ht="1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ht="1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ht="1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1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ht="1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ht="1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ht="1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ht="1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ht="1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ht="1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ht="1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ht="1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ht="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ht="1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ht="1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ht="1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ht="1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ht="1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ht="1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ht="1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ht="1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ht="1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ht="1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ht="1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ht="1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ht="1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ht="1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ht="1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ht="1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ht="1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ht="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ht="1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ht="1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1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ht="1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ht="1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ht="1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ht="1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ht="1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ht="1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ht="1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ht="1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ht="1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ht="1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ht="1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ht="1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ht="1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ht="1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ht="1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ht="1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ht="1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ht="1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ht="1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ht="1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ht="1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ht="1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ht="1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ht="1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ht="1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ht="1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ht="1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ht="1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ht="1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ht="1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ht="1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ht="1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ht="1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ht="1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ht="1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ht="1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ht="1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ht="1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ht="1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ht="1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ht="1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ht="1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ht="1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ht="1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ht="1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ht="1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ht="1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ht="1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ht="1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ht="1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ht="1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ht="1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ht="1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ht="1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ht="1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ht="1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ht="1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ht="1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ht="1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ht="1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ht="1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ht="1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ht="1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ht="1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ht="1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ht="1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ht="1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ht="1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ht="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ht="1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ht="1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ht="1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ht="1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ht="1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ht="1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ht="1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ht="1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ht="1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ht="1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ht="1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ht="1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ht="1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ht="1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ht="1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ht="1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ht="1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ht="1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ht="1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ht="1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ht="1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ht="1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ht="1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ht="1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ht="1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ht="1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ht="1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ht="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ht="1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ht="1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ht="1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ht="1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ht="1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ht="1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ht="1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ht="1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ht="1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ht="1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ht="1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ht="1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ht="1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ht="1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ht="1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ht="1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ht="1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ht="1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ht="1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ht="1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ht="1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ht="1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ht="1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ht="1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ht="1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ht="1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ht="1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ht="1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ht="1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ht="1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ht="1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ht="1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ht="1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ht="1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ht="1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ht="1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ht="1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ht="1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ht="1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ht="1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ht="1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ht="1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ht="1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ht="1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ht="1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ht="1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ht="1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ht="1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ht="1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ht="1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ht="1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ht="1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ht="1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ht="1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ht="1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ht="1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ht="1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ht="1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ht="1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ht="1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ht="1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ht="1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ht="1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ht="1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ht="1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ht="1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ht="1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ht="1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ht="1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ht="1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ht="1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ht="1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ht="1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ht="1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ht="1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ht="1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ht="1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ht="1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ht="1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ht="1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ht="1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ht="1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ht="1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ht="1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ht="1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ht="1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ht="1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ht="1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ht="1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ht="1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ht="1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ht="1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ht="1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ht="1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ht="1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ht="1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ht="1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ht="1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ht="1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ht="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ht="1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ht="1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ht="1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ht="1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ht="1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ht="1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ht="1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ht="1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ht="1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ht="1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ht="1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ht="1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ht="1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ht="1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ht="1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ht="1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ht="1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ht="1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ht="1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ht="1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ht="1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ht="1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ht="1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ht="1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ht="1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ht="1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ht="1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ht="1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ht="1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ht="1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ht="1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ht="1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ht="1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ht="1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ht="1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ht="1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ht="1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ht="1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ht="1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ht="1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ht="1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ht="1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ht="1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ht="1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ht="1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ht="1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ht="1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ht="1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ht="1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ht="1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ht="1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ht="1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ht="1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ht="1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ht="1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ht="1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ht="1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ht="1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ht="1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ht="1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ht="1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ht="1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ht="1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ht="1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ht="1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ht="1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ht="1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ht="1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ht="1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ht="1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ht="1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ht="1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ht="1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ht="1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ht="1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ht="1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ht="1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ht="1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ht="1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ht="1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ht="1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ht="1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ht="1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ht="1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ht="1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ht="1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ht="1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ht="1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ht="1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ht="1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ht="1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ht="1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ht="1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ht="1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ht="1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ht="1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ht="1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ht="1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ht="1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ht="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ht="1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ht="1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ht="1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ht="1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ht="1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ht="1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ht="1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ht="1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ht="1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ht="1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ht="1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ht="1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ht="1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ht="1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ht="1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ht="1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ht="1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ht="1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ht="1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ht="1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ht="1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ht="1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ht="1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ht="1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ht="1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ht="1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ht="1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ht="1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ht="1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ht="1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ht="1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ht="1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ht="1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ht="1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ht="1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ht="1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ht="1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ht="1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ht="1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ht="1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ht="1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ht="1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ht="1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ht="1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ht="1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ht="1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ht="1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ht="1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ht="1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ht="1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ht="1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ht="1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ht="1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ht="1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ht="1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ht="1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ht="1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ht="1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ht="1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ht="1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ht="1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ht="1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ht="1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ht="1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ht="1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ht="1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ht="1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ht="1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ht="1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ht="1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ht="1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ht="1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ht="1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ht="1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ht="1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ht="1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ht="1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ht="1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ht="1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ht="1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ht="1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ht="1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ht="1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ht="1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ht="1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ht="1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ht="1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ht="1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ht="1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ht="1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ht="1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ht="1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ht="1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ht="1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ht="1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ht="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ht="1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ht="1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ht="1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ht="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ht="1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ht="1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ht="1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ht="1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ht="1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ht="1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ht="1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ht="1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ht="1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ht="1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ht="1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ht="1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ht="1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ht="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ht="1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ht="1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ht="1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ht="1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ht="1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ht="1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ht="1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ht="1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ht="1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ht="1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ht="1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ht="1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ht="1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ht="1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ht="1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ht="1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ht="1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ht="1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ht="1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ht="1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ht="1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ht="1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ht="1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ht="1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ht="1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ht="1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ht="1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ht="1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ht="1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ht="1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ht="1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ht="1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ht="1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ht="1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ht="1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ht="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ht="1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ht="1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ht="1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ht="1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ht="1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ht="1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ht="1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ht="1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ht="1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ht="1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ht="1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ht="1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ht="1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ht="1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ht="1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ht="1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ht="1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ht="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ht="1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ht="1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ht="1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ht="1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ht="1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ht="1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ht="1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ht="1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ht="1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ht="1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ht="1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ht="1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ht="1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ht="1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ht="1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ht="1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ht="1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ht="1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ht="1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ht="1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ht="1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ht="1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ht="1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ht="1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ht="1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ht="1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ht="1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ht="1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ht="1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ht="1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ht="1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ht="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ht="1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ht="1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ht="1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ht="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ht="1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ht="1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ht="1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ht="1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ht="1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ht="1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ht="1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ht="1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ht="1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ht="1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ht="1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ht="1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ht="1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ht="1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ht="1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ht="1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ht="1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ht="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ht="1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ht="1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ht="1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ht="1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ht="1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ht="1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ht="1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ht="1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ht="1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ht="1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ht="1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ht="1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ht="1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ht="1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ht="1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ht="1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ht="1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ht="1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ht="1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ht="1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ht="1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ht="1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ht="1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ht="1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ht="1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ht="1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ht="1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ht="1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ht="1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ht="1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ht="1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ht="1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ht="1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ht="1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ht="1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ht="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ht="1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ht="1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ht="1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ht="1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ht="1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ht="1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ht="1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ht="1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ht="1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ht="1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ht="1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ht="1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ht="1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ht="1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ht="1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ht="1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ht="1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ht="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ht="1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ht="1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ht="1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ht="1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ht="1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ht="1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ht="1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ht="1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ht="1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ht="1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ht="1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ht="1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ht="1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ht="1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ht="1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ht="1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ht="1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ht="1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ht="1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ht="1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ht="1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ht="1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ht="1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ht="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ht="1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ht="1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ht="1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ht="1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ht="1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ht="1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ht="1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ht="1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ht="1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ht="1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ht="1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ht="1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ht="1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ht="1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ht="1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ht="1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ht="1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ht="1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ht="1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ht="1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ht="1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ht="1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ht="1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ht="1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ht="1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ht="1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ht="1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ht="1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ht="1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ht="1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ht="1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ht="1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ht="1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ht="1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ht="1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ht="1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ht="1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ht="1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ht="1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ht="1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ht="1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ht="1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ht="1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ht="1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ht="1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ht="1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ht="1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ht="1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ht="1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ht="1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ht="1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ht="1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ht="1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ht="1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ht="1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ht="1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ht="1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ht="1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ht="1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ht="1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ht="1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ht="1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ht="1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ht="1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ht="1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ht="1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ht="1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ht="1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ht="1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ht="1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ht="1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ht="1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ht="1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ht="1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ht="1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ht="1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ht="1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ht="1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ht="1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ht="1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ht="1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ht="1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ht="1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ht="1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ht="1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ht="1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ht="1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ht="1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ht="1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ht="1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ht="1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ht="1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ht="1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ht="1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ht="1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ht="1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ht="1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ht="1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ht="1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ht="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ht="1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ht="1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ht="1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ht="1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ht="1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ht="1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ht="1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ht="1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ht="1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ht="1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ht="1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ht="1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ht="1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ht="1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ht="1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ht="1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ht="1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ht="1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ht="1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ht="1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ht="1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ht="1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ht="1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ht="1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ht="1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ht="1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ht="1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ht="1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ht="1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ht="1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ht="1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ht="1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ht="1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ht="1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ht="1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ht="1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ht="1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ht="1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ht="1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ht="1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ht="1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ht="1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ht="1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ht="1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ht="1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ht="1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ht="1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ht="1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ht="1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ht="1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ht="1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ht="1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ht="1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ht="1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ht="1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ht="1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ht="1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ht="1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ht="1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ht="1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ht="1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ht="1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ht="1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ht="1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ht="1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ht="1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ht="1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ht="1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ht="1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ht="1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ht="1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ht="1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ht="1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ht="1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ht="1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ht="1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ht="1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ht="1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ht="1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ht="1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ht="1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ht="1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ht="1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ht="1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 ht="1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4" zoomScale="125" workbookViewId="0">
      <selection activeCell="E19" activeCellId="0" sqref="E19"/>
    </sheetView>
  </sheetViews>
  <sheetFormatPr baseColWidth="10" defaultColWidth="12.6640625" defaultRowHeight="15.75" customHeight="1"/>
  <cols>
    <col min="1" max="1" style="1" width="12.6640625"/>
    <col bestFit="1" customWidth="1" min="2" max="2" style="1" width="18.1640625"/>
    <col min="3" max="16384" style="1" width="12.6640625"/>
  </cols>
  <sheetData>
    <row r="1" ht="15.75" customHeight="1">
      <c r="A1" s="32" t="s">
        <v>98</v>
      </c>
      <c r="B1" s="33" t="s">
        <v>99</v>
      </c>
    </row>
    <row r="2" ht="15.75" customHeight="1">
      <c r="A2" s="34" t="s">
        <v>100</v>
      </c>
      <c r="B2" s="35" t="s">
        <v>101</v>
      </c>
      <c r="C2" s="36"/>
      <c r="D2" s="36"/>
      <c r="E2" s="36"/>
    </row>
    <row r="3" ht="15.75" customHeight="1">
      <c r="A3" s="34" t="s">
        <v>100</v>
      </c>
      <c r="B3" s="35" t="s">
        <v>102</v>
      </c>
      <c r="C3" s="36"/>
      <c r="D3" s="36"/>
      <c r="E3" s="36"/>
    </row>
    <row r="4" ht="15.75" customHeight="1">
      <c r="A4" s="34" t="s">
        <v>100</v>
      </c>
      <c r="B4" s="35" t="s">
        <v>103</v>
      </c>
      <c r="C4" s="36"/>
      <c r="D4" s="36"/>
      <c r="E4" s="36"/>
    </row>
    <row r="5" ht="15.75" customHeight="1">
      <c r="A5" s="34" t="s">
        <v>104</v>
      </c>
      <c r="B5" s="35" t="s">
        <v>105</v>
      </c>
      <c r="C5" s="36"/>
      <c r="D5" s="36"/>
      <c r="E5" s="36"/>
    </row>
    <row r="6" ht="15.75" customHeight="1">
      <c r="A6" s="34" t="s">
        <v>106</v>
      </c>
      <c r="B6" s="35" t="s">
        <v>107</v>
      </c>
      <c r="C6" s="36"/>
      <c r="D6" s="36"/>
      <c r="E6" s="36"/>
    </row>
    <row r="7" ht="15.75" customHeight="1">
      <c r="A7" s="34" t="s">
        <v>106</v>
      </c>
      <c r="B7" s="35" t="s">
        <v>108</v>
      </c>
      <c r="C7" s="36"/>
      <c r="D7" s="36"/>
      <c r="E7" s="36"/>
    </row>
    <row r="8" ht="15.75" customHeight="1">
      <c r="A8" s="34" t="s">
        <v>104</v>
      </c>
      <c r="B8" s="35" t="s">
        <v>109</v>
      </c>
      <c r="C8" s="36"/>
      <c r="D8" s="36"/>
      <c r="E8" s="36"/>
    </row>
    <row r="9" ht="15.75" customHeight="1">
      <c r="A9" s="34" t="s">
        <v>100</v>
      </c>
      <c r="B9" s="35" t="s">
        <v>110</v>
      </c>
      <c r="C9" s="36"/>
      <c r="D9" s="36"/>
      <c r="E9" s="36"/>
    </row>
    <row r="10" ht="15.75" customHeight="1">
      <c r="A10" s="34" t="s">
        <v>106</v>
      </c>
      <c r="B10" s="35" t="s">
        <v>111</v>
      </c>
      <c r="C10" s="36"/>
      <c r="D10" s="36"/>
      <c r="E10" s="36"/>
    </row>
    <row r="11" ht="15.75" customHeight="1">
      <c r="A11" s="34" t="s">
        <v>104</v>
      </c>
      <c r="B11" s="35" t="s">
        <v>112</v>
      </c>
      <c r="C11" s="36"/>
      <c r="D11" s="36"/>
      <c r="E11" s="36"/>
    </row>
    <row r="12" ht="15.75" customHeight="1">
      <c r="A12" s="34" t="s">
        <v>100</v>
      </c>
      <c r="B12" s="35" t="s">
        <v>113</v>
      </c>
      <c r="C12" s="36"/>
      <c r="D12" s="36"/>
      <c r="E12" s="36"/>
    </row>
    <row r="13" ht="15.75" customHeight="1">
      <c r="A13" s="34" t="s">
        <v>100</v>
      </c>
      <c r="B13" s="35" t="s">
        <v>114</v>
      </c>
      <c r="C13" s="36"/>
      <c r="D13" s="36"/>
      <c r="E13" s="36"/>
    </row>
    <row r="14" ht="15.75" customHeight="1">
      <c r="A14" s="34" t="s">
        <v>106</v>
      </c>
      <c r="B14" s="35" t="s">
        <v>115</v>
      </c>
      <c r="C14" s="36"/>
      <c r="D14" s="36"/>
      <c r="E14" s="36"/>
    </row>
    <row r="15" ht="15.75" customHeight="1">
      <c r="A15" s="34" t="s">
        <v>104</v>
      </c>
      <c r="B15" s="35" t="s">
        <v>116</v>
      </c>
      <c r="C15" s="36"/>
      <c r="D15" s="36"/>
      <c r="E15" s="36"/>
    </row>
    <row r="16" ht="15.75" customHeight="1">
      <c r="A16" s="34" t="s">
        <v>100</v>
      </c>
      <c r="B16" s="35" t="s">
        <v>117</v>
      </c>
      <c r="C16" s="36"/>
      <c r="D16" s="36"/>
      <c r="E16" s="36"/>
    </row>
    <row r="17" ht="15.75" customHeight="1">
      <c r="A17" s="34" t="s">
        <v>100</v>
      </c>
      <c r="B17" s="35" t="s">
        <v>118</v>
      </c>
      <c r="C17" s="36"/>
      <c r="D17" s="36"/>
      <c r="E17" s="36"/>
    </row>
    <row r="18" ht="15.75" customHeight="1">
      <c r="A18" s="34" t="s">
        <v>104</v>
      </c>
      <c r="B18" s="35" t="s">
        <v>119</v>
      </c>
      <c r="C18" s="36"/>
      <c r="D18" s="36"/>
      <c r="E18" s="36"/>
    </row>
    <row r="19" ht="15.75" customHeight="1">
      <c r="A19" s="34" t="s">
        <v>104</v>
      </c>
      <c r="B19" s="35" t="s">
        <v>120</v>
      </c>
      <c r="C19" s="36"/>
      <c r="D19" s="36"/>
      <c r="E19" s="36"/>
    </row>
    <row r="20" ht="15.75" customHeight="1">
      <c r="A20" s="34" t="s">
        <v>106</v>
      </c>
      <c r="B20" s="35" t="s">
        <v>121</v>
      </c>
      <c r="C20" s="36"/>
      <c r="D20" s="36"/>
      <c r="E20" s="36"/>
    </row>
    <row r="21" ht="15.75" customHeight="1">
      <c r="A21" s="34" t="s">
        <v>106</v>
      </c>
      <c r="B21" s="35" t="s">
        <v>122</v>
      </c>
      <c r="C21" s="36"/>
      <c r="D21" s="36"/>
      <c r="E21" s="36"/>
    </row>
    <row r="22" ht="15.75" customHeight="1">
      <c r="A22" s="34" t="s">
        <v>106</v>
      </c>
      <c r="B22" s="35" t="s">
        <v>123</v>
      </c>
      <c r="C22" s="36"/>
      <c r="D22" s="36"/>
      <c r="E22" s="36"/>
    </row>
    <row r="23" ht="15.75" customHeight="1">
      <c r="A23" s="34" t="s">
        <v>106</v>
      </c>
      <c r="B23" s="35" t="s">
        <v>124</v>
      </c>
      <c r="C23" s="36"/>
      <c r="D23" s="36"/>
      <c r="E23" s="36"/>
    </row>
    <row r="24" ht="15.75" customHeight="1">
      <c r="A24" s="34" t="s">
        <v>106</v>
      </c>
      <c r="B24" s="35" t="s">
        <v>125</v>
      </c>
      <c r="C24" s="36"/>
      <c r="D24" s="36"/>
      <c r="E24" s="36"/>
    </row>
    <row r="25" ht="15.75" customHeight="1">
      <c r="A25" s="34" t="s">
        <v>106</v>
      </c>
      <c r="B25" s="35" t="s">
        <v>126</v>
      </c>
      <c r="C25" s="36"/>
      <c r="D25" s="36"/>
      <c r="E25" s="36"/>
    </row>
    <row r="26" ht="15.75" customHeight="1">
      <c r="A26" s="34" t="s">
        <v>106</v>
      </c>
      <c r="B26" s="35" t="s">
        <v>127</v>
      </c>
      <c r="C26" s="36"/>
      <c r="D26" s="36"/>
      <c r="E26" s="36"/>
    </row>
    <row r="27" ht="15">
      <c r="A27" s="34" t="s">
        <v>100</v>
      </c>
      <c r="B27" s="35" t="s">
        <v>128</v>
      </c>
      <c r="C27" s="36"/>
      <c r="D27" s="36"/>
      <c r="E27" s="36"/>
    </row>
    <row r="28" ht="15">
      <c r="A28" s="34" t="s">
        <v>106</v>
      </c>
      <c r="B28" s="35" t="s">
        <v>129</v>
      </c>
      <c r="C28" s="36"/>
      <c r="D28" s="36"/>
      <c r="E28" s="36"/>
    </row>
    <row r="29" ht="15">
      <c r="A29" s="34" t="s">
        <v>100</v>
      </c>
      <c r="B29" s="35" t="s">
        <v>130</v>
      </c>
      <c r="C29" s="36"/>
      <c r="D29" s="36"/>
      <c r="E29" s="36"/>
    </row>
    <row r="30" ht="15">
      <c r="A30" s="34" t="s">
        <v>100</v>
      </c>
      <c r="B30" s="35" t="s">
        <v>131</v>
      </c>
      <c r="C30" s="36"/>
      <c r="D30" s="36"/>
      <c r="E30" s="36"/>
    </row>
    <row r="31" ht="15">
      <c r="A31" s="34" t="s">
        <v>100</v>
      </c>
      <c r="B31" s="35" t="s">
        <v>132</v>
      </c>
      <c r="C31" s="36"/>
      <c r="D31" s="36"/>
      <c r="E31" s="3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25" workbookViewId="0">
      <selection activeCell="H23" activeCellId="0" sqref="H23"/>
    </sheetView>
  </sheetViews>
  <sheetFormatPr baseColWidth="10" defaultColWidth="12.6640625" defaultRowHeight="15.75" customHeight="1"/>
  <cols>
    <col bestFit="1" customWidth="1" min="1" max="1" width="19.19140625"/>
    <col bestFit="1" customWidth="1" min="2" max="2" width="7.19140625"/>
    <col bestFit="1" customWidth="1" min="3" max="3" width="6.5234375"/>
    <col bestFit="1" customWidth="1" min="4" max="4" width="15.3828125"/>
    <col bestFit="1" customWidth="1" min="5" max="5" width="8.61328125"/>
    <col bestFit="1" customWidth="1" min="6" max="6" width="11.6640625"/>
    <col bestFit="1" customWidth="1" min="7" max="7" width="2.61328125"/>
  </cols>
  <sheetData>
    <row r="1" s="37" customFormat="1" ht="15.75" customHeight="1">
      <c r="A1" s="38" t="s">
        <v>99</v>
      </c>
      <c r="B1" s="38" t="s">
        <v>133</v>
      </c>
      <c r="C1" s="2" t="s">
        <v>134</v>
      </c>
      <c r="D1" s="2" t="s">
        <v>135</v>
      </c>
      <c r="E1" s="39" t="s">
        <v>136</v>
      </c>
      <c r="F1" s="40" t="s">
        <v>137</v>
      </c>
      <c r="G1" s="40" t="s">
        <v>138</v>
      </c>
    </row>
    <row r="2" ht="15.75" customHeight="1">
      <c r="A2" s="35" t="s">
        <v>130</v>
      </c>
      <c r="B2" s="35">
        <v>8181</v>
      </c>
      <c r="C2" s="41">
        <f>_xlfn.XLOOKUP(A2,'H&amp;V'!$B$4:$B$33,'H&amp;V'!$A$4:$A$33,"Topilmadi")</f>
        <v>0.23999999999999999</v>
      </c>
      <c r="D2" s="4">
        <f t="shared" ref="D2:D31" si="2">B2*(C2/100)</f>
        <v>19.634399999999999</v>
      </c>
      <c r="E2" s="42">
        <f t="shared" ref="E2:E31" si="3">B2+D2</f>
        <v>8200.6344000000008</v>
      </c>
      <c r="F2" s="43" t="str">
        <f>_xlfn.XLOOKUP(A2,ID!$B$2:$B$31,ID!$A$2:$A$31)</f>
        <v>Sales</v>
      </c>
      <c r="G2" s="44" t="str">
        <f>RIGHT(_xlfn.XLOOKUP(A2, 'H&amp;V'!$E$5:$AH$5, 'H&amp;V'!$E$3:$AH$3), 1)</f>
        <v>4</v>
      </c>
    </row>
    <row r="3" ht="15.75" customHeight="1">
      <c r="A3" s="35" t="s">
        <v>113</v>
      </c>
      <c r="B3" s="35">
        <v>8451</v>
      </c>
      <c r="C3" s="41">
        <f>_xlfn.XLOOKUP(A3,'H&amp;V'!$B$4:$B$33,'H&amp;V'!$A$4:$A$33,"Topilmadi")</f>
        <v>0.23999999999999999</v>
      </c>
      <c r="D3" s="4">
        <f t="shared" si="2"/>
        <v>20.282399999999999</v>
      </c>
      <c r="E3" s="42">
        <f t="shared" si="3"/>
        <v>8471.2824000000001</v>
      </c>
      <c r="F3" s="43" t="str">
        <f>_xlfn.XLOOKUP(A3,ID!$B$2:$B$31,ID!$A$2:$A$31)</f>
        <v>Sales</v>
      </c>
      <c r="G3" s="44" t="str">
        <f>RIGHT(_xlfn.XLOOKUP(A3,'H&amp;V'!$E$5:$AH$5,'H&amp;V'!$E$3:$AH$3),1)</f>
        <v>0</v>
      </c>
    </row>
    <row r="4" ht="15.75" customHeight="1">
      <c r="A4" s="35" t="s">
        <v>117</v>
      </c>
      <c r="B4" s="35">
        <v>8020</v>
      </c>
      <c r="C4" s="41">
        <f>_xlfn.XLOOKUP(A4,'H&amp;V'!$B$4:$B$33,'H&amp;V'!$A$4:$A$33,"Topilmadi")</f>
        <v>0.23000000000000001</v>
      </c>
      <c r="D4" s="4">
        <f t="shared" si="2"/>
        <v>18.445999999999998</v>
      </c>
      <c r="E4" s="42">
        <f t="shared" si="3"/>
        <v>8038.4459999999999</v>
      </c>
      <c r="F4" s="43" t="str">
        <f>_xlfn.XLOOKUP(A4,ID!$B$2:$B$31,ID!$A$2:$A$31)</f>
        <v>Sales</v>
      </c>
      <c r="G4" s="44" t="str">
        <f>RIGHT(_xlfn.XLOOKUP(A4,'H&amp;V'!$E$5:$AH$5,'H&amp;V'!$E$3:$AH$3),1)</f>
        <v>8</v>
      </c>
    </row>
    <row r="5" ht="15.75" customHeight="1">
      <c r="A5" s="35" t="s">
        <v>118</v>
      </c>
      <c r="B5" s="35">
        <v>2838</v>
      </c>
      <c r="C5" s="41">
        <f>_xlfn.XLOOKUP(A5,'H&amp;V'!$B$4:$B$33,'H&amp;V'!$A$4:$A$33,"Topilmadi")</f>
        <v>0.10000000000000001</v>
      </c>
      <c r="D5" s="4">
        <f t="shared" si="2"/>
        <v>2.8380000000000001</v>
      </c>
      <c r="E5" s="42">
        <f t="shared" si="3"/>
        <v>2840.8380000000002</v>
      </c>
      <c r="F5" s="43" t="str">
        <f>_xlfn.XLOOKUP(A5,ID!$B$2:$B$31,ID!$A$2:$A$31)</f>
        <v>Sales</v>
      </c>
      <c r="G5" s="44" t="str">
        <f>RIGHT(_xlfn.XLOOKUP(A5,'H&amp;V'!$E$5:$AH$5,'H&amp;V'!$E$3:$AH$3),1)</f>
        <v>4</v>
      </c>
    </row>
    <row r="6" ht="15.75" customHeight="1">
      <c r="A6" s="35" t="s">
        <v>114</v>
      </c>
      <c r="B6" s="35">
        <v>6609</v>
      </c>
      <c r="C6" s="41">
        <f>_xlfn.XLOOKUP(A6,'H&amp;V'!$B$4:$B$33,'H&amp;V'!$A$4:$A$33,"Topilmadi")</f>
        <v>0.10000000000000001</v>
      </c>
      <c r="D6" s="4">
        <f t="shared" si="2"/>
        <v>6.609</v>
      </c>
      <c r="E6" s="42">
        <f t="shared" si="3"/>
        <v>6615.6090000000004</v>
      </c>
      <c r="F6" s="43" t="str">
        <f>_xlfn.XLOOKUP(A6,ID!$B$2:$B$31,ID!$A$2:$A$31)</f>
        <v>Sales</v>
      </c>
      <c r="G6" s="44" t="str">
        <f>RIGHT(_xlfn.XLOOKUP(A6,'H&amp;V'!$E$5:$AH$5,'H&amp;V'!$E$3:$AH$3),1)</f>
        <v>3</v>
      </c>
    </row>
    <row r="7" ht="15.75" customHeight="1">
      <c r="A7" s="35" t="s">
        <v>128</v>
      </c>
      <c r="B7" s="35">
        <v>5957</v>
      </c>
      <c r="C7" s="41">
        <f>_xlfn.XLOOKUP(A7,'H&amp;V'!$B$4:$B$33,'H&amp;V'!$A$4:$A$33,"Topilmadi")</f>
        <v>0.089999999999999997</v>
      </c>
      <c r="D7" s="4">
        <f t="shared" si="2"/>
        <v>5.3613</v>
      </c>
      <c r="E7" s="42">
        <f t="shared" si="3"/>
        <v>5962.3612999999996</v>
      </c>
      <c r="F7" s="43" t="str">
        <f>_xlfn.XLOOKUP(A7,ID!$B$2:$B$31,ID!$A$2:$A$31)</f>
        <v>Sales</v>
      </c>
      <c r="G7" s="44" t="str">
        <f>RIGHT(_xlfn.XLOOKUP(A7,'H&amp;V'!$E$5:$AH$5,'H&amp;V'!$E$3:$AH$3),1)</f>
        <v>4</v>
      </c>
    </row>
    <row r="8" ht="15.75" customHeight="1">
      <c r="A8" s="35" t="s">
        <v>102</v>
      </c>
      <c r="B8" s="35">
        <v>2415</v>
      </c>
      <c r="C8" s="41">
        <f>_xlfn.XLOOKUP(A8,'H&amp;V'!$B$4:$B$33,'H&amp;V'!$A$4:$A$33,"Topilmadi")</f>
        <v>0.089999999999999997</v>
      </c>
      <c r="D8" s="4">
        <f t="shared" si="2"/>
        <v>2.1734999999999998</v>
      </c>
      <c r="E8" s="42">
        <f t="shared" si="3"/>
        <v>2417.1734999999999</v>
      </c>
      <c r="F8" s="43" t="str">
        <f>_xlfn.XLOOKUP(A8,ID!$B$2:$B$31,ID!$A$2:$A$31)</f>
        <v>Sales</v>
      </c>
      <c r="G8" s="44" t="str">
        <f>RIGHT(_xlfn.XLOOKUP(A8,'H&amp;V'!$E$5:$AH$5,'H&amp;V'!$E$3:$AH$3),1)</f>
        <v>2</v>
      </c>
    </row>
    <row r="9" ht="15.75" customHeight="1">
      <c r="A9" s="35" t="s">
        <v>131</v>
      </c>
      <c r="B9" s="35">
        <v>2408</v>
      </c>
      <c r="C9" s="41">
        <f>_xlfn.XLOOKUP(A9,'H&amp;V'!$B$4:$B$33,'H&amp;V'!$A$4:$A$33,"Topilmadi")</f>
        <v>0.27000000000000002</v>
      </c>
      <c r="D9" s="4">
        <f t="shared" si="2"/>
        <v>6.5016000000000007</v>
      </c>
      <c r="E9" s="42">
        <f t="shared" si="3"/>
        <v>2414.5016000000001</v>
      </c>
      <c r="F9" s="43" t="str">
        <f>_xlfn.XLOOKUP(A9,ID!$B$2:$B$31,ID!$A$2:$A$31)</f>
        <v>Sales</v>
      </c>
      <c r="G9" s="44" t="str">
        <f>RIGHT(_xlfn.XLOOKUP(A9,'H&amp;V'!$E$5:$AH$5,'H&amp;V'!$E$3:$AH$3),1)</f>
        <v>7</v>
      </c>
    </row>
    <row r="10" ht="15.75" customHeight="1">
      <c r="A10" s="35" t="s">
        <v>132</v>
      </c>
      <c r="B10" s="35">
        <v>2083</v>
      </c>
      <c r="C10" s="41">
        <f>_xlfn.XLOOKUP(A10,'H&amp;V'!$B$4:$B$33,'H&amp;V'!$A$4:$A$33,"Topilmadi")</f>
        <v>0.25</v>
      </c>
      <c r="D10" s="4">
        <f t="shared" si="2"/>
        <v>5.2075000000000005</v>
      </c>
      <c r="E10" s="42">
        <f t="shared" si="3"/>
        <v>2088.2075</v>
      </c>
      <c r="F10" s="43" t="str">
        <f>_xlfn.XLOOKUP(A10,ID!$B$2:$B$31,ID!$A$2:$A$31)</f>
        <v>Sales</v>
      </c>
      <c r="G10" s="44" t="str">
        <f>RIGHT(_xlfn.XLOOKUP(A10, 'H&amp;V'!$E$5:$AH$5, 'H&amp;V'!$E$3:$AH$3), 1)</f>
        <v>0</v>
      </c>
    </row>
    <row r="11" ht="15.75" customHeight="1">
      <c r="A11" s="35" t="s">
        <v>101</v>
      </c>
      <c r="B11" s="35">
        <v>5742</v>
      </c>
      <c r="C11" s="41">
        <f>_xlfn.XLOOKUP(A11,'H&amp;V'!$B$4:$B$33,'H&amp;V'!$A$4:$A$33,"Topilmadi")</f>
        <v>0.25</v>
      </c>
      <c r="D11" s="4">
        <f t="shared" si="2"/>
        <v>14.355</v>
      </c>
      <c r="E11" s="42">
        <f t="shared" si="3"/>
        <v>5756.3549999999996</v>
      </c>
      <c r="F11" s="43" t="str">
        <f>_xlfn.XLOOKUP(A11,ID!$B$2:$B$31,ID!$A$2:$A$31)</f>
        <v>Sales</v>
      </c>
      <c r="G11" s="44" t="str">
        <f>RIGHT(_xlfn.XLOOKUP(A11,'H&amp;V'!$E$5:$AH$5,'H&amp;V'!$E$3:$AH$3),1)</f>
        <v>5</v>
      </c>
    </row>
    <row r="12" ht="15.75" customHeight="1">
      <c r="A12" s="35" t="s">
        <v>103</v>
      </c>
      <c r="B12" s="35">
        <v>5112</v>
      </c>
      <c r="C12" s="41">
        <f>_xlfn.XLOOKUP(A12,'H&amp;V'!$B$4:$B$33,'H&amp;V'!$A$4:$A$33,"Topilmadi")</f>
        <v>0.25</v>
      </c>
      <c r="D12" s="4">
        <f t="shared" si="2"/>
        <v>12.780000000000001</v>
      </c>
      <c r="E12" s="42">
        <f t="shared" si="3"/>
        <v>5124.7799999999997</v>
      </c>
      <c r="F12" s="43" t="str">
        <f>_xlfn.XLOOKUP(A12,ID!$B$2:$B$31,ID!$A$2:$A$31)</f>
        <v>Sales</v>
      </c>
      <c r="G12" s="44" t="str">
        <f>RIGHT(_xlfn.XLOOKUP(A12,'H&amp;V'!$E$5:$AH$5,'H&amp;V'!$E$3:$AH$3),1)</f>
        <v>6</v>
      </c>
    </row>
    <row r="13" ht="15.75" customHeight="1">
      <c r="A13" s="35" t="s">
        <v>110</v>
      </c>
      <c r="B13" s="35">
        <v>5995</v>
      </c>
      <c r="C13" s="41">
        <f>_xlfn.XLOOKUP(A13,'H&amp;V'!$B$4:$B$33,'H&amp;V'!$A$4:$A$33,"Topilmadi")</f>
        <v>0.25</v>
      </c>
      <c r="D13" s="4">
        <f t="shared" si="2"/>
        <v>14.987500000000001</v>
      </c>
      <c r="E13" s="42">
        <f t="shared" si="3"/>
        <v>6009.9875000000002</v>
      </c>
      <c r="F13" s="43" t="str">
        <f>_xlfn.XLOOKUP(A13,ID!$B$2:$B$31,ID!$A$2:$A$31)</f>
        <v>Sales</v>
      </c>
      <c r="G13" s="44" t="str">
        <f>RIGHT(_xlfn.XLOOKUP(A13,'H&amp;V'!$E$5:$AH$5,'H&amp;V'!$E$3:$AH$3),1)</f>
        <v>1</v>
      </c>
    </row>
    <row r="14" ht="15.75" customHeight="1">
      <c r="A14" s="35" t="s">
        <v>120</v>
      </c>
      <c r="B14" s="35">
        <v>8444</v>
      </c>
      <c r="C14" s="41">
        <f>_xlfn.XLOOKUP(A14,'H&amp;V'!$B$4:$B$33,'H&amp;V'!$A$4:$A$33,"Topilmadi")</f>
        <v>0.059999999999999998</v>
      </c>
      <c r="D14" s="4">
        <f t="shared" si="2"/>
        <v>5.0663999999999998</v>
      </c>
      <c r="E14" s="42">
        <f t="shared" si="3"/>
        <v>8449.0663999999997</v>
      </c>
      <c r="F14" s="43" t="str">
        <f>_xlfn.XLOOKUP(A14,ID!$B$2:$B$31,ID!$A$2:$A$31)</f>
        <v>Procurement</v>
      </c>
      <c r="G14" s="44" t="str">
        <f>RIGHT(_xlfn.XLOOKUP(A14,'H&amp;V'!$E$5:$AH$5,'H&amp;V'!$E$3:$AH$3),1)</f>
        <v>1</v>
      </c>
    </row>
    <row r="15" ht="15.75" customHeight="1">
      <c r="A15" s="35" t="s">
        <v>119</v>
      </c>
      <c r="B15" s="35">
        <v>3106</v>
      </c>
      <c r="C15" s="41">
        <f>_xlfn.XLOOKUP(A15,'H&amp;V'!$B$4:$B$33,'H&amp;V'!$A$4:$A$33,"Topilmadi")</f>
        <v>0.089999999999999997</v>
      </c>
      <c r="D15" s="4">
        <f t="shared" si="2"/>
        <v>2.7953999999999999</v>
      </c>
      <c r="E15" s="42">
        <f t="shared" si="3"/>
        <v>3108.7954</v>
      </c>
      <c r="F15" s="43" t="str">
        <f>_xlfn.XLOOKUP(A15,ID!$B$2:$B$31,ID!$A$2:$A$31)</f>
        <v>Procurement</v>
      </c>
      <c r="G15" s="44" t="str">
        <f>RIGHT(_xlfn.XLOOKUP(A15,'H&amp;V'!$E$5:$AH$5,'H&amp;V'!$E$3:$AH$3),1)</f>
        <v>2</v>
      </c>
    </row>
    <row r="16" ht="15.75" customHeight="1">
      <c r="A16" s="35" t="s">
        <v>139</v>
      </c>
      <c r="B16" s="35">
        <v>8926</v>
      </c>
      <c r="C16" s="41">
        <f>_xlfn.XLOOKUP(A16,'H&amp;V'!$B$4:$B$33,'H&amp;V'!$A$4:$A$33,"Topilmadi")</f>
        <v>0.17999999999999999</v>
      </c>
      <c r="D16" s="4">
        <f t="shared" si="2"/>
        <v>16.066800000000001</v>
      </c>
      <c r="E16" s="42">
        <f t="shared" si="3"/>
        <v>8942.0668000000005</v>
      </c>
      <c r="F16" s="43" t="str">
        <f>_xlfn.XLOOKUP(A16,ID!$B$2:$B$31,ID!$A$2:$A$31,"Topilmadi")</f>
        <v>Topilmadi</v>
      </c>
      <c r="G16" s="44" t="str">
        <f>RIGHT(_xlfn.XLOOKUP(A16,'H&amp;V'!$E$5:$AH$5,'H&amp;V'!$E$3:$AH$3),1)</f>
        <v>7</v>
      </c>
    </row>
    <row r="17" ht="15.75" customHeight="1">
      <c r="A17" s="35" t="s">
        <v>105</v>
      </c>
      <c r="B17" s="35">
        <v>8138</v>
      </c>
      <c r="C17" s="41">
        <f>_xlfn.XLOOKUP(A17,'H&amp;V'!$B$4:$B$33,'H&amp;V'!$A$4:$A$33,"Topilmadi")</f>
        <v>0.17000000000000001</v>
      </c>
      <c r="D17" s="4">
        <f t="shared" si="2"/>
        <v>13.834600000000002</v>
      </c>
      <c r="E17" s="42">
        <f t="shared" si="3"/>
        <v>8151.8346000000001</v>
      </c>
      <c r="F17" s="43" t="str">
        <f>_xlfn.XLOOKUP(A17,ID!$B$2:$B$31,ID!$A$2:$A$31)</f>
        <v>Procurement</v>
      </c>
      <c r="G17" s="44" t="str">
        <f>RIGHT(_xlfn.XLOOKUP(A17,'H&amp;V'!$E$5:$AH$5,'H&amp;V'!$E$3:$AH$3),1)</f>
        <v>5</v>
      </c>
    </row>
    <row r="18" ht="15.75" customHeight="1">
      <c r="A18" s="35" t="s">
        <v>112</v>
      </c>
      <c r="B18" s="35">
        <v>2167</v>
      </c>
      <c r="C18" s="41">
        <f>_xlfn.XLOOKUP(A18,'H&amp;V'!$B$4:$B$33,'H&amp;V'!$A$4:$A$33,"Topilmadi")</f>
        <v>0.14000000000000001</v>
      </c>
      <c r="D18" s="4">
        <f t="shared" si="2"/>
        <v>3.0338000000000003</v>
      </c>
      <c r="E18" s="42">
        <f t="shared" si="3"/>
        <v>2170.0338000000002</v>
      </c>
      <c r="F18" s="43" t="str">
        <f>_xlfn.XLOOKUP(A18,ID!$B$2:$B$31,ID!$A$2:$A$31)</f>
        <v>Procurement</v>
      </c>
      <c r="G18" s="44" t="str">
        <f>RIGHT(_xlfn.XLOOKUP(A18,'H&amp;V'!$E$5:$AH$5,'H&amp;V'!$E$3:$AH$3),1)</f>
        <v>2</v>
      </c>
    </row>
    <row r="19" ht="15.75" customHeight="1">
      <c r="A19" s="35" t="s">
        <v>116</v>
      </c>
      <c r="B19" s="35">
        <v>2616</v>
      </c>
      <c r="C19" s="41">
        <f>_xlfn.XLOOKUP(A19,'H&amp;V'!$B$4:$B$33,'H&amp;V'!$A$4:$A$33,"Topilmadi")</f>
        <v>0.14000000000000001</v>
      </c>
      <c r="D19" s="4">
        <f t="shared" si="2"/>
        <v>3.6624000000000003</v>
      </c>
      <c r="E19" s="42">
        <f t="shared" si="3"/>
        <v>2619.6624000000002</v>
      </c>
      <c r="F19" s="43" t="str">
        <f>_xlfn.XLOOKUP(A19,ID!$B$2:$B$31,ID!$A$2:$A$31)</f>
        <v>Procurement</v>
      </c>
      <c r="G19" s="44" t="str">
        <f>RIGHT(_xlfn.XLOOKUP(A19,'H&amp;V'!$E$5:$AH$5,'H&amp;V'!$E$3:$AH$3),1)</f>
        <v>9</v>
      </c>
    </row>
    <row r="20" ht="15.75" customHeight="1">
      <c r="A20" s="35" t="s">
        <v>121</v>
      </c>
      <c r="B20" s="35">
        <v>9032</v>
      </c>
      <c r="C20" s="41">
        <f>_xlfn.XLOOKUP(A20,'H&amp;V'!$B$4:$B$33,'H&amp;V'!$A$4:$A$33,"Topilmadi")</f>
        <v>0.02</v>
      </c>
      <c r="D20" s="4">
        <f t="shared" si="2"/>
        <v>1.8064</v>
      </c>
      <c r="E20" s="42">
        <f t="shared" si="3"/>
        <v>9033.8063999999995</v>
      </c>
      <c r="F20" s="43" t="str">
        <f>_xlfn.XLOOKUP(A20,ID!$B$2:$B$31,ID!$A$2:$A$31)</f>
        <v>Finance</v>
      </c>
      <c r="G20" s="44" t="str">
        <f>RIGHT(_xlfn.XLOOKUP(A20,'H&amp;V'!$E$5:$AH$5,'H&amp;V'!$E$3:$AH$3),1)</f>
        <v>3</v>
      </c>
    </row>
    <row r="21" ht="15.75" customHeight="1">
      <c r="A21" s="35" t="s">
        <v>108</v>
      </c>
      <c r="B21" s="35">
        <v>8966</v>
      </c>
      <c r="C21" s="41">
        <f>_xlfn.XLOOKUP(A21,'H&amp;V'!$B$4:$B$33,'H&amp;V'!$A$4:$A$33,"Topilmadi")</f>
        <v>0.01</v>
      </c>
      <c r="D21" s="4">
        <f t="shared" si="2"/>
        <v>0.89660000000000006</v>
      </c>
      <c r="E21" s="42">
        <f t="shared" si="3"/>
        <v>8966.8966</v>
      </c>
      <c r="F21" s="43" t="str">
        <f>_xlfn.XLOOKUP(A21,ID!$B$2:$B$31,ID!$A$2:$A$31)</f>
        <v>Finance</v>
      </c>
      <c r="G21" s="44" t="str">
        <f>RIGHT(_xlfn.XLOOKUP(A21,'H&amp;V'!$E$5:$AH$5,'H&amp;V'!$E$3:$AH$3),1)</f>
        <v>4</v>
      </c>
    </row>
    <row r="22" ht="15.75" customHeight="1">
      <c r="A22" s="35" t="s">
        <v>115</v>
      </c>
      <c r="B22" s="35">
        <v>9619</v>
      </c>
      <c r="C22" s="41">
        <f>_xlfn.XLOOKUP(A22,'H&amp;V'!$B$4:$B$33,'H&amp;V'!$A$4:$A$33,"Topilmadi")</f>
        <v>0.23000000000000001</v>
      </c>
      <c r="D22" s="4">
        <f t="shared" si="2"/>
        <v>22.123699999999999</v>
      </c>
      <c r="E22" s="42">
        <f t="shared" si="3"/>
        <v>9641.1237000000001</v>
      </c>
      <c r="F22" s="43" t="str">
        <f>_xlfn.XLOOKUP(A22,ID!$B$2:$B$31,ID!$A$2:$A$31)</f>
        <v>Finance</v>
      </c>
      <c r="G22" s="44" t="str">
        <f>RIGHT(_xlfn.XLOOKUP(A22,'H&amp;V'!$E$5:$AH$5,'H&amp;V'!$E$3:$AH$3),1)</f>
        <v>9</v>
      </c>
    </row>
    <row r="23" ht="15.75" customHeight="1">
      <c r="A23" s="35" t="s">
        <v>107</v>
      </c>
      <c r="B23" s="35">
        <v>4166</v>
      </c>
      <c r="C23" s="41">
        <f>_xlfn.XLOOKUP(A23,'H&amp;V'!$B$4:$B$33,'H&amp;V'!$A$4:$A$33,"Topilmadi")</f>
        <v>0.20999999999999999</v>
      </c>
      <c r="D23" s="4">
        <f t="shared" si="2"/>
        <v>8.7485999999999997</v>
      </c>
      <c r="E23" s="42">
        <f t="shared" si="3"/>
        <v>4174.7485999999999</v>
      </c>
      <c r="F23" s="43" t="str">
        <f>_xlfn.XLOOKUP(A23,ID!$B$2:$B$31,ID!$A$2:$A$31)</f>
        <v>Finance</v>
      </c>
      <c r="G23" s="44" t="str">
        <f>RIGHT(_xlfn.XLOOKUP(A23,'H&amp;V'!$E$5:$AH$5,'H&amp;V'!$E$3:$AH$3),1)</f>
        <v>1</v>
      </c>
    </row>
    <row r="24" ht="15.75" customHeight="1">
      <c r="A24" s="35" t="s">
        <v>129</v>
      </c>
      <c r="B24" s="35">
        <v>2400</v>
      </c>
      <c r="C24" s="41">
        <f>_xlfn.XLOOKUP(A24,'H&amp;V'!$B$4:$B$33,'H&amp;V'!$A$4:$A$33,"Topilmadi")</f>
        <v>0.20000000000000001</v>
      </c>
      <c r="D24" s="4">
        <f t="shared" si="2"/>
        <v>4.7999999999999998</v>
      </c>
      <c r="E24" s="42">
        <f t="shared" si="3"/>
        <v>2404.8000000000002</v>
      </c>
      <c r="F24" s="43" t="str">
        <f>_xlfn.XLOOKUP(A24,ID!$B$2:$B$31,ID!$A$2:$A$31)</f>
        <v>Finance</v>
      </c>
      <c r="G24" s="44" t="str">
        <f>RIGHT(_xlfn.XLOOKUP(A24,'H&amp;V'!$E$5:$AH$5,'H&amp;V'!$E$3:$AH$3),1)</f>
        <v>1</v>
      </c>
    </row>
    <row r="25" ht="15.75" customHeight="1">
      <c r="A25" s="35" t="s">
        <v>111</v>
      </c>
      <c r="B25" s="35">
        <v>8904</v>
      </c>
      <c r="C25" s="41">
        <f>_xlfn.XLOOKUP(A25,'H&amp;V'!$B$4:$B$33,'H&amp;V'!$A$4:$A$33,"Topilmadi")</f>
        <v>0.19</v>
      </c>
      <c r="D25" s="4">
        <f t="shared" si="2"/>
        <v>16.9176</v>
      </c>
      <c r="E25" s="42">
        <f t="shared" si="3"/>
        <v>8920.9176000000007</v>
      </c>
      <c r="F25" s="43" t="str">
        <f>_xlfn.XLOOKUP(A25,ID!$B$2:$B$31,ID!$A$2:$A$31)</f>
        <v>Finance</v>
      </c>
      <c r="G25" s="44" t="str">
        <f>RIGHT(_xlfn.XLOOKUP(A25,'H&amp;V'!$E$5:$AH$5,'H&amp;V'!$E$3:$AH$3),1)</f>
        <v>6</v>
      </c>
    </row>
    <row r="26" ht="15.75" customHeight="1">
      <c r="A26" s="35" t="s">
        <v>122</v>
      </c>
      <c r="B26" s="35">
        <v>9167</v>
      </c>
      <c r="C26" s="41">
        <f>_xlfn.XLOOKUP(A26,'H&amp;V'!$B$4:$B$33,'H&amp;V'!$A$4:$A$33,"Topilmadi")</f>
        <v>0.17999999999999999</v>
      </c>
      <c r="D26" s="4">
        <f t="shared" si="2"/>
        <v>16.500599999999999</v>
      </c>
      <c r="E26" s="42">
        <f t="shared" si="3"/>
        <v>9183.5005999999994</v>
      </c>
      <c r="F26" s="43" t="str">
        <f>_xlfn.XLOOKUP(A26,ID!$B$2:$B$31,ID!$A$2:$A$31)</f>
        <v>Finance</v>
      </c>
      <c r="G26" s="44" t="str">
        <f>RIGHT(_xlfn.XLOOKUP(A26,'H&amp;V'!$E$5:$AH$5,'H&amp;V'!$E$3:$AH$3),1)</f>
        <v>9</v>
      </c>
    </row>
    <row r="27" ht="16">
      <c r="A27" s="35" t="s">
        <v>123</v>
      </c>
      <c r="B27" s="35">
        <v>9955</v>
      </c>
      <c r="C27" s="41">
        <f>_xlfn.XLOOKUP(A27,'H&amp;V'!$B$4:$B$33,'H&amp;V'!$A$4:$A$33,"Topilmadi")</f>
        <v>0.070000000000000007</v>
      </c>
      <c r="D27" s="4">
        <f t="shared" si="2"/>
        <v>6.9685000000000006</v>
      </c>
      <c r="E27" s="42">
        <f t="shared" si="3"/>
        <v>9961.9685000000009</v>
      </c>
      <c r="F27" s="43" t="str">
        <f>_xlfn.XLOOKUP(A27,ID!$B$2:$B$31,ID!$A$2:$A$31)</f>
        <v>Finance</v>
      </c>
      <c r="G27" s="44" t="str">
        <f>RIGHT(_xlfn.XLOOKUP(A27,'H&amp;V'!$E$5:$AH$5,'H&amp;V'!$E$3:$AH$3),1)</f>
        <v>5</v>
      </c>
    </row>
    <row r="28" ht="16">
      <c r="A28" s="35" t="s">
        <v>124</v>
      </c>
      <c r="B28" s="35">
        <v>4091</v>
      </c>
      <c r="C28" s="41">
        <f>_xlfn.XLOOKUP(A28,'H&amp;V'!$B$4:$B$33,'H&amp;V'!$A$4:$A$33,"Topilmadi")</f>
        <v>0.050000000000000003</v>
      </c>
      <c r="D28" s="4">
        <f t="shared" si="2"/>
        <v>2.0455000000000001</v>
      </c>
      <c r="E28" s="42">
        <f t="shared" si="3"/>
        <v>4093.0455000000002</v>
      </c>
      <c r="F28" s="43" t="str">
        <f>_xlfn.XLOOKUP(A28,ID!$B$2:$B$31,ID!$A$2:$A$31)</f>
        <v>Finance</v>
      </c>
      <c r="G28" s="44" t="str">
        <f>RIGHT(_xlfn.XLOOKUP(A28,'H&amp;V'!$E$5:$AH$5,'H&amp;V'!$E$3:$AH$3),1)</f>
        <v>6</v>
      </c>
    </row>
    <row r="29" ht="16">
      <c r="A29" s="35" t="s">
        <v>125</v>
      </c>
      <c r="B29" s="35">
        <v>7159</v>
      </c>
      <c r="C29" s="41">
        <f>_xlfn.XLOOKUP(A29,'H&amp;V'!$B$4:$B$33,'H&amp;V'!$A$4:$A$33,"Topilmadi")</f>
        <v>0.080000000000000002</v>
      </c>
      <c r="D29" s="4">
        <f t="shared" si="2"/>
        <v>5.7271999999999998</v>
      </c>
      <c r="E29" s="42">
        <f t="shared" si="3"/>
        <v>7164.7272000000003</v>
      </c>
      <c r="F29" s="43" t="str">
        <f>_xlfn.XLOOKUP(A29,ID!$B$2:$B$31,ID!$A$2:$A$31)</f>
        <v>Finance</v>
      </c>
      <c r="G29" s="44" t="str">
        <f>RIGHT(_xlfn.XLOOKUP(A29,'H&amp;V'!$E$5:$AH$5,'H&amp;V'!$E$3:$AH$3),1)</f>
        <v>3</v>
      </c>
    </row>
    <row r="30" ht="16">
      <c r="A30" s="35" t="s">
        <v>126</v>
      </c>
      <c r="B30" s="35">
        <v>5903</v>
      </c>
      <c r="C30" s="41">
        <f>_xlfn.XLOOKUP(A30,'H&amp;V'!$B$4:$B$33,'H&amp;V'!$A$4:$A$33,"Topilmadi")</f>
        <v>0.059999999999999998</v>
      </c>
      <c r="D30" s="4">
        <f t="shared" si="2"/>
        <v>3.5417999999999998</v>
      </c>
      <c r="E30" s="42">
        <f t="shared" si="3"/>
        <v>5906.5418</v>
      </c>
      <c r="F30" s="43" t="str">
        <f>_xlfn.XLOOKUP(A30,ID!$B$2:$B$31,ID!$A$2:$A$31)</f>
        <v>Finance</v>
      </c>
      <c r="G30" s="44" t="str">
        <f>RIGHT(_xlfn.XLOOKUP(A30,'H&amp;V'!$E$5:$AH$5,'H&amp;V'!$E$3:$AH$3),1)</f>
        <v>5</v>
      </c>
    </row>
    <row r="31" ht="16">
      <c r="A31" s="35" t="s">
        <v>127</v>
      </c>
      <c r="B31" s="35">
        <v>8699</v>
      </c>
      <c r="C31" s="41">
        <f>_xlfn.XLOOKUP(A31,'H&amp;V'!$B$4:$B$33,'H&amp;V'!$A$4:$A$33,"Topilmadi")</f>
        <v>0.059999999999999998</v>
      </c>
      <c r="D31" s="4">
        <f t="shared" si="2"/>
        <v>5.2193999999999994</v>
      </c>
      <c r="E31" s="42">
        <f t="shared" si="3"/>
        <v>8704.2194</v>
      </c>
      <c r="F31" s="43" t="str">
        <f>_xlfn.XLOOKUP(A31,ID!$B$2:$B$31,ID!$A$2:$A$31)</f>
        <v>Finance</v>
      </c>
      <c r="G31" s="44" t="str">
        <f>RIGHT(_xlfn.XLOOKUP(A31,'H&amp;V'!$E$5:$AH$5,'H&amp;V'!$E$3:$AH$3),1)</f>
        <v>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18" workbookViewId="0">
      <selection activeCell="B9" activeCellId="0" sqref="B9"/>
    </sheetView>
  </sheetViews>
  <sheetFormatPr baseColWidth="10" defaultColWidth="12.6640625" defaultRowHeight="15.75" customHeight="1"/>
  <cols>
    <col bestFit="1" customWidth="1" min="1" max="1" style="1" width="8.1640625"/>
    <col bestFit="1" customWidth="1" min="2" max="2" style="1" width="18.1640625"/>
    <col min="3" max="3" style="1" width="12.6640625"/>
    <col bestFit="1" customWidth="1" min="4" max="4" style="1" width="14.83203125"/>
    <col bestFit="1" customWidth="1" min="5" max="5" style="1" width="13.6640625"/>
    <col bestFit="1" customWidth="1" min="6" max="6" style="1" width="13.33203125"/>
    <col bestFit="1" customWidth="1" min="7" max="7" style="1" width="10.33203125"/>
    <col bestFit="1" customWidth="1" min="8" max="8" style="1" width="13.5"/>
    <col bestFit="1" customWidth="1" min="9" max="9" style="1" width="15.33203125"/>
    <col bestFit="1" customWidth="1" min="10" max="10" style="1" width="13.83203125"/>
    <col bestFit="1" customWidth="1" min="11" max="11" style="1" width="13.33203125"/>
    <col bestFit="1" customWidth="1" min="12" max="12" style="1" width="16.1640625"/>
    <col bestFit="1" customWidth="1" min="13" max="13" style="1" width="15.6640625"/>
    <col bestFit="1" customWidth="1" min="14" max="14" style="1" width="12.83203125"/>
    <col bestFit="1" customWidth="1" min="15" max="15" style="1" width="12.1640625"/>
    <col bestFit="1" customWidth="1" min="16" max="16" style="1" width="13.5"/>
    <col bestFit="1" customWidth="1" min="17" max="17" style="1" width="16.6640625"/>
    <col bestFit="1" customWidth="1" min="18" max="18" style="1" width="13.33203125"/>
    <col bestFit="1" customWidth="1" min="19" max="19" style="1" width="15.5"/>
    <col bestFit="1" customWidth="1" min="20" max="20" style="1" width="17.1640625"/>
    <col bestFit="1" customWidth="1" min="21" max="21" style="1" width="12.5"/>
    <col bestFit="1" customWidth="1" min="22" max="22" style="1" width="15"/>
    <col bestFit="1" customWidth="1" min="23" max="23" style="1" width="16.1640625"/>
    <col bestFit="1" customWidth="1" min="24" max="24" style="1" width="16.5"/>
    <col bestFit="1" customWidth="1" min="25" max="25" style="1" width="15.5"/>
    <col bestFit="1" customWidth="1" min="26" max="26" style="1" width="15.83203125"/>
    <col bestFit="1" customWidth="1" min="27" max="27" style="1" width="18.1640625"/>
    <col bestFit="1" customWidth="1" min="28" max="28" style="1" width="17.5"/>
    <col bestFit="1" customWidth="1" min="29" max="29" style="1" width="13.1640625"/>
    <col bestFit="1" customWidth="1" min="30" max="30" style="1" width="15.6640625"/>
    <col bestFit="1" customWidth="1" min="31" max="31" style="1" width="15.33203125"/>
    <col bestFit="1" customWidth="1" min="32" max="32" style="1" width="13.83203125"/>
    <col bestFit="1" customWidth="1" min="33" max="33" style="1" width="15.33203125"/>
    <col bestFit="1" customWidth="1" min="34" max="34" style="1" width="14.1640625"/>
    <col min="35" max="16384" style="1" width="12.6640625"/>
  </cols>
  <sheetData>
    <row r="1" ht="15.75" customHeight="1">
      <c r="A1" s="45"/>
      <c r="D1" s="46" t="s">
        <v>140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</row>
    <row r="2" ht="15.75" customHeight="1">
      <c r="A2" s="46" t="s">
        <v>141</v>
      </c>
      <c r="B2" s="46"/>
      <c r="D2" s="4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</row>
    <row r="3" ht="15.75" customHeight="1">
      <c r="A3" s="47" t="s">
        <v>142</v>
      </c>
      <c r="B3" s="47" t="s">
        <v>143</v>
      </c>
      <c r="D3" s="47" t="s">
        <v>144</v>
      </c>
      <c r="E3" s="35" t="s">
        <v>145</v>
      </c>
      <c r="F3" s="35" t="s">
        <v>146</v>
      </c>
      <c r="G3" s="35" t="s">
        <v>147</v>
      </c>
      <c r="H3" s="35" t="s">
        <v>148</v>
      </c>
      <c r="I3" s="35" t="s">
        <v>149</v>
      </c>
      <c r="J3" s="35" t="s">
        <v>150</v>
      </c>
      <c r="K3" s="35" t="s">
        <v>151</v>
      </c>
      <c r="L3" s="35" t="s">
        <v>152</v>
      </c>
      <c r="M3" s="35" t="s">
        <v>153</v>
      </c>
      <c r="N3" s="35" t="s">
        <v>154</v>
      </c>
      <c r="O3" s="35" t="s">
        <v>155</v>
      </c>
      <c r="P3" s="35" t="s">
        <v>156</v>
      </c>
      <c r="Q3" s="35" t="s">
        <v>157</v>
      </c>
      <c r="R3" s="35" t="s">
        <v>158</v>
      </c>
      <c r="S3" s="35" t="s">
        <v>159</v>
      </c>
      <c r="T3" s="35" t="s">
        <v>160</v>
      </c>
      <c r="U3" s="35" t="s">
        <v>161</v>
      </c>
      <c r="V3" s="35" t="s">
        <v>162</v>
      </c>
      <c r="W3" s="35" t="s">
        <v>163</v>
      </c>
      <c r="X3" s="35" t="s">
        <v>164</v>
      </c>
      <c r="Y3" s="35" t="s">
        <v>165</v>
      </c>
      <c r="Z3" s="35" t="s">
        <v>166</v>
      </c>
      <c r="AA3" s="35" t="s">
        <v>167</v>
      </c>
      <c r="AB3" s="35" t="s">
        <v>168</v>
      </c>
      <c r="AC3" s="35" t="s">
        <v>169</v>
      </c>
      <c r="AD3" s="35" t="s">
        <v>170</v>
      </c>
      <c r="AE3" s="35" t="s">
        <v>171</v>
      </c>
      <c r="AF3" s="35" t="s">
        <v>172</v>
      </c>
      <c r="AG3" s="35" t="s">
        <v>173</v>
      </c>
      <c r="AH3" s="35" t="s">
        <v>174</v>
      </c>
    </row>
    <row r="4" ht="15.75" customHeight="1">
      <c r="A4" s="48">
        <v>0.27000000000000002</v>
      </c>
      <c r="B4" s="35" t="s">
        <v>131</v>
      </c>
      <c r="D4" s="47" t="s">
        <v>142</v>
      </c>
      <c r="E4" s="48">
        <v>0.27000000000000002</v>
      </c>
      <c r="F4" s="48">
        <v>0.25</v>
      </c>
      <c r="G4" s="48">
        <v>0.25</v>
      </c>
      <c r="H4" s="48">
        <v>0.25</v>
      </c>
      <c r="I4" s="48">
        <v>0.25</v>
      </c>
      <c r="J4" s="48">
        <v>0.23999999999999999</v>
      </c>
      <c r="K4" s="48">
        <v>0.23999999999999999</v>
      </c>
      <c r="L4" s="48">
        <v>0.23000000000000001</v>
      </c>
      <c r="M4" s="48">
        <v>0.23000000000000001</v>
      </c>
      <c r="N4" s="48">
        <v>0.20999999999999999</v>
      </c>
      <c r="O4" s="48">
        <v>0.20000000000000001</v>
      </c>
      <c r="P4" s="48">
        <v>0.19</v>
      </c>
      <c r="Q4" s="48">
        <v>0.17999999999999999</v>
      </c>
      <c r="R4" s="48">
        <v>0.17999999999999999</v>
      </c>
      <c r="S4" s="48">
        <v>0.17000000000000001</v>
      </c>
      <c r="T4" s="48">
        <v>0.14000000000000001</v>
      </c>
      <c r="U4" s="48">
        <v>0.14000000000000001</v>
      </c>
      <c r="V4" s="48">
        <v>0.10000000000000001</v>
      </c>
      <c r="W4" s="48">
        <v>0.10000000000000001</v>
      </c>
      <c r="X4" s="48">
        <v>0.089999999999999997</v>
      </c>
      <c r="Y4" s="48">
        <v>0.089999999999999997</v>
      </c>
      <c r="Z4" s="48">
        <v>0.080000000000000002</v>
      </c>
      <c r="AA4" s="48">
        <v>0.059999999999999998</v>
      </c>
      <c r="AB4" s="48">
        <v>0.059999999999999998</v>
      </c>
      <c r="AC4" s="48">
        <v>0.059999999999999998</v>
      </c>
      <c r="AD4" s="41">
        <v>0.089999999999999997</v>
      </c>
      <c r="AE4" s="41">
        <v>0.02</v>
      </c>
      <c r="AF4" s="41">
        <v>0.01</v>
      </c>
      <c r="AG4" s="41">
        <v>0.070000000000000007</v>
      </c>
      <c r="AH4" s="41">
        <v>0.050000000000000003</v>
      </c>
    </row>
    <row r="5" ht="15.75" customHeight="1">
      <c r="A5" s="48">
        <v>0.25</v>
      </c>
      <c r="B5" s="35" t="s">
        <v>132</v>
      </c>
      <c r="D5" s="47" t="s">
        <v>143</v>
      </c>
      <c r="E5" s="35" t="s">
        <v>131</v>
      </c>
      <c r="F5" s="35" t="s">
        <v>132</v>
      </c>
      <c r="G5" s="35" t="s">
        <v>101</v>
      </c>
      <c r="H5" s="35" t="s">
        <v>103</v>
      </c>
      <c r="I5" s="35" t="s">
        <v>110</v>
      </c>
      <c r="J5" s="35" t="s">
        <v>130</v>
      </c>
      <c r="K5" s="35" t="s">
        <v>113</v>
      </c>
      <c r="L5" s="35" t="s">
        <v>117</v>
      </c>
      <c r="M5" s="35" t="s">
        <v>115</v>
      </c>
      <c r="N5" s="35" t="s">
        <v>107</v>
      </c>
      <c r="O5" s="35" t="s">
        <v>129</v>
      </c>
      <c r="P5" s="35" t="s">
        <v>111</v>
      </c>
      <c r="Q5" s="35" t="s">
        <v>122</v>
      </c>
      <c r="R5" s="35" t="s">
        <v>139</v>
      </c>
      <c r="S5" s="35" t="s">
        <v>105</v>
      </c>
      <c r="T5" s="35" t="s">
        <v>112</v>
      </c>
      <c r="U5" s="35" t="s">
        <v>116</v>
      </c>
      <c r="V5" s="35" t="s">
        <v>118</v>
      </c>
      <c r="W5" s="35" t="s">
        <v>114</v>
      </c>
      <c r="X5" s="35" t="s">
        <v>128</v>
      </c>
      <c r="Y5" s="35" t="s">
        <v>102</v>
      </c>
      <c r="Z5" s="35" t="s">
        <v>125</v>
      </c>
      <c r="AA5" s="35" t="s">
        <v>126</v>
      </c>
      <c r="AB5" s="35" t="s">
        <v>127</v>
      </c>
      <c r="AC5" s="35" t="s">
        <v>120</v>
      </c>
      <c r="AD5" s="35" t="s">
        <v>119</v>
      </c>
      <c r="AE5" s="35" t="s">
        <v>121</v>
      </c>
      <c r="AF5" s="35" t="s">
        <v>108</v>
      </c>
      <c r="AG5" s="35" t="s">
        <v>123</v>
      </c>
      <c r="AH5" s="35" t="s">
        <v>124</v>
      </c>
    </row>
    <row r="6" ht="15.75" customHeight="1">
      <c r="A6" s="48">
        <v>0.25</v>
      </c>
      <c r="B6" s="35" t="s">
        <v>101</v>
      </c>
    </row>
    <row r="7" ht="15.75" customHeight="1">
      <c r="A7" s="48">
        <v>0.25</v>
      </c>
      <c r="B7" s="35" t="s">
        <v>103</v>
      </c>
    </row>
    <row r="8" ht="15.75" customHeight="1">
      <c r="A8" s="48">
        <v>0.25</v>
      </c>
      <c r="B8" s="35" t="s">
        <v>110</v>
      </c>
    </row>
    <row r="9" ht="15.75" customHeight="1">
      <c r="A9" s="48">
        <v>0.23999999999999999</v>
      </c>
      <c r="B9" s="35" t="s">
        <v>130</v>
      </c>
    </row>
    <row r="10" ht="15.75" customHeight="1">
      <c r="A10" s="48">
        <v>0.23999999999999999</v>
      </c>
      <c r="B10" s="35" t="s">
        <v>113</v>
      </c>
    </row>
    <row r="11" ht="15.75" customHeight="1">
      <c r="A11" s="48">
        <v>0.23000000000000001</v>
      </c>
      <c r="B11" s="35" t="s">
        <v>117</v>
      </c>
    </row>
    <row r="12" ht="15.75" customHeight="1">
      <c r="A12" s="48">
        <v>0.23000000000000001</v>
      </c>
      <c r="B12" s="35" t="s">
        <v>115</v>
      </c>
    </row>
    <row r="13" ht="15.75" customHeight="1">
      <c r="A13" s="48">
        <v>0.20999999999999999</v>
      </c>
      <c r="B13" s="35" t="s">
        <v>107</v>
      </c>
    </row>
    <row r="14" ht="15.75" customHeight="1">
      <c r="A14" s="48">
        <v>0.20000000000000001</v>
      </c>
      <c r="B14" s="35" t="s">
        <v>129</v>
      </c>
    </row>
    <row r="15" ht="15.75" customHeight="1">
      <c r="A15" s="48">
        <v>0.19</v>
      </c>
      <c r="B15" s="35" t="s">
        <v>111</v>
      </c>
    </row>
    <row r="16" ht="15.75" customHeight="1">
      <c r="A16" s="48">
        <v>0.17999999999999999</v>
      </c>
      <c r="B16" s="35" t="s">
        <v>122</v>
      </c>
    </row>
    <row r="17" ht="15.75" customHeight="1">
      <c r="A17" s="48">
        <v>0.17999999999999999</v>
      </c>
      <c r="B17" s="35" t="s">
        <v>139</v>
      </c>
    </row>
    <row r="18" ht="15.75" customHeight="1">
      <c r="A18" s="48">
        <v>0.17000000000000001</v>
      </c>
      <c r="B18" s="35" t="s">
        <v>105</v>
      </c>
    </row>
    <row r="19" ht="15.75" customHeight="1">
      <c r="A19" s="48">
        <v>0.14000000000000001</v>
      </c>
      <c r="B19" s="35" t="s">
        <v>112</v>
      </c>
    </row>
    <row r="20" ht="15.75" customHeight="1">
      <c r="A20" s="48">
        <v>0.14000000000000001</v>
      </c>
      <c r="B20" s="35" t="s">
        <v>116</v>
      </c>
    </row>
    <row r="21" ht="15.75" customHeight="1">
      <c r="A21" s="48">
        <v>0.10000000000000001</v>
      </c>
      <c r="B21" s="35" t="s">
        <v>118</v>
      </c>
    </row>
    <row r="22" ht="15.75" customHeight="1">
      <c r="A22" s="48">
        <v>0.10000000000000001</v>
      </c>
      <c r="B22" s="35" t="s">
        <v>114</v>
      </c>
    </row>
    <row r="23" ht="15.75" customHeight="1">
      <c r="A23" s="48">
        <v>0.089999999999999997</v>
      </c>
      <c r="B23" s="35" t="s">
        <v>128</v>
      </c>
    </row>
    <row r="24" ht="15.75" customHeight="1">
      <c r="A24" s="48">
        <v>0.089999999999999997</v>
      </c>
      <c r="B24" s="35" t="s">
        <v>102</v>
      </c>
    </row>
    <row r="25" ht="15.75" customHeight="1">
      <c r="A25" s="48">
        <v>0.080000000000000002</v>
      </c>
      <c r="B25" s="35" t="s">
        <v>125</v>
      </c>
    </row>
    <row r="26" ht="15.75" customHeight="1">
      <c r="A26" s="48">
        <v>0.059999999999999998</v>
      </c>
      <c r="B26" s="35" t="s">
        <v>126</v>
      </c>
    </row>
    <row r="27" ht="15">
      <c r="A27" s="48">
        <v>0.059999999999999998</v>
      </c>
      <c r="B27" s="35" t="s">
        <v>127</v>
      </c>
    </row>
    <row r="28" ht="15">
      <c r="A28" s="48">
        <v>0.059999999999999998</v>
      </c>
      <c r="B28" s="35" t="s">
        <v>120</v>
      </c>
    </row>
    <row r="29" ht="15">
      <c r="A29" s="41">
        <v>0.089999999999999997</v>
      </c>
      <c r="B29" s="35" t="s">
        <v>119</v>
      </c>
    </row>
    <row r="30" ht="15">
      <c r="A30" s="41">
        <v>0.02</v>
      </c>
      <c r="B30" s="35" t="s">
        <v>121</v>
      </c>
    </row>
    <row r="31" ht="15">
      <c r="A31" s="41">
        <v>0.01</v>
      </c>
      <c r="B31" s="35" t="s">
        <v>108</v>
      </c>
    </row>
    <row r="32" ht="15">
      <c r="A32" s="41">
        <v>0.070000000000000007</v>
      </c>
      <c r="B32" s="35" t="s">
        <v>123</v>
      </c>
    </row>
    <row r="33" ht="15">
      <c r="A33" s="41">
        <v>0.050000000000000003</v>
      </c>
      <c r="B33" s="35" t="s">
        <v>124</v>
      </c>
    </row>
  </sheetData>
  <mergeCells count="2">
    <mergeCell ref="A2:B2"/>
    <mergeCell ref="D1:D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2026-04-14T01:55:24Z</dcterms:created>
  <dcterms:modified xsi:type="dcterms:W3CDTF">2026-04-14T03:58:33Z</dcterms:modified>
</cp:coreProperties>
</file>