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LOOKUP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<sst xmlns="http://schemas.openxmlformats.org/spreadsheetml/2006/main" count="140" uniqueCount="140">
  <si>
    <t>ID</t>
  </si>
  <si>
    <t xml:space="preserve">Tozalangan Ism</t>
  </si>
  <si>
    <t xml:space="preserve">Tozalangan Manzil</t>
  </si>
  <si>
    <t xml:space="preserve">Telefon Format</t>
  </si>
  <si>
    <t>Maoshi</t>
  </si>
  <si>
    <t xml:space="preserve">Premiya maoshiga</t>
  </si>
  <si>
    <t xml:space="preserve">Tug'ilgan sana </t>
  </si>
  <si>
    <t xml:space="preserve">Karta raqami </t>
  </si>
  <si>
    <t xml:space="preserve">Ro'yxatdan sana </t>
  </si>
  <si>
    <t xml:space="preserve">Jasur Nurmatov</t>
  </si>
  <si>
    <t xml:space="preserve">Chilonzor 12</t>
  </si>
  <si>
    <t xml:space="preserve">+998 90 1234567</t>
  </si>
  <si>
    <t>1995-05-12</t>
  </si>
  <si>
    <t xml:space="preserve">8600 1234 5678 9012</t>
  </si>
  <si>
    <t>2023-01-12</t>
  </si>
  <si>
    <t xml:space="preserve">1.Id orqali Ismni aniqlang</t>
  </si>
  <si>
    <t xml:space="preserve">Sarvar Karimov</t>
  </si>
  <si>
    <t xml:space="preserve">Yunusobod 45</t>
  </si>
  <si>
    <t xml:space="preserve">+998 93 1112233</t>
  </si>
  <si>
    <t>1998-11-02</t>
  </si>
  <si>
    <t xml:space="preserve">9860 5555 4444 3333</t>
  </si>
  <si>
    <t>2023-02-15</t>
  </si>
  <si>
    <t xml:space="preserve">2.Id orqali Manzilni aniqlang</t>
  </si>
  <si>
    <t xml:space="preserve">Dilshod Raxmonov</t>
  </si>
  <si>
    <t>Registon</t>
  </si>
  <si>
    <t xml:space="preserve">+998 90 9998877</t>
  </si>
  <si>
    <t xml:space="preserve">3.Id orqali Maoshini aniqlang</t>
  </si>
  <si>
    <t xml:space="preserve">Jashon Abdullaev</t>
  </si>
  <si>
    <t xml:space="preserve">Markaz 22</t>
  </si>
  <si>
    <t xml:space="preserve">+998 93 5551122</t>
  </si>
  <si>
    <t xml:space="preserve">4.ID orqali agar maoshi+Premiya &gt;3000 bolsa zo'r yoki kam</t>
  </si>
  <si>
    <t xml:space="preserve">Shoxrux Yuldashev</t>
  </si>
  <si>
    <t xml:space="preserve">Chortoq 10</t>
  </si>
  <si>
    <t xml:space="preserve">+998 90 9091212</t>
  </si>
  <si>
    <t xml:space="preserve">5.ID orqali xodimning Maoshi ni toping va agar u 3000 dan katta bo‘lsa “Yuqori”, aks holda “Past” deb chiqaring</t>
  </si>
  <si>
    <t xml:space="preserve">Akmal Toshpulatov</t>
  </si>
  <si>
    <t xml:space="preserve">Olmazor 8</t>
  </si>
  <si>
    <t xml:space="preserve">+998 93 8887766</t>
  </si>
  <si>
    <t xml:space="preserve">6.ID orqali xodimning Maoshi + Premiya ni hisoblang</t>
  </si>
  <si>
    <t xml:space="preserve">Bekzod Rustamov</t>
  </si>
  <si>
    <t xml:space="preserve">Urgut 14</t>
  </si>
  <si>
    <t xml:space="preserve">+998 93 4445566</t>
  </si>
  <si>
    <t xml:space="preserve">7.ID orqali xodimning umumiy daromadini (Maosh + Premiya) topib, agar 4000 dan katta bo‘lsa “Top employee” deb belgilang</t>
  </si>
  <si>
    <t xml:space="preserve">Murod Karimov</t>
  </si>
  <si>
    <t xml:space="preserve">Asaka 4</t>
  </si>
  <si>
    <t xml:space="preserve">+998 90 1119988</t>
  </si>
  <si>
    <t xml:space="preserve">8.ID orqali xodimning Premiyasini toping va agar u 500 dan katta bo‘lsa 100 qo‘shing, aks holda o‘zgarmasin</t>
  </si>
  <si>
    <t xml:space="preserve">Ilhom Rahimov</t>
  </si>
  <si>
    <t xml:space="preserve">Sergeli 6</t>
  </si>
  <si>
    <t xml:space="preserve">+998 93 2223344</t>
  </si>
  <si>
    <t xml:space="preserve">9.ID orqali xodimning Maoshi ni toping va uni 12 ga ko‘paytirib yillik daromadini hisoblang</t>
  </si>
  <si>
    <t xml:space="preserve">Jasur Aliyev</t>
  </si>
  <si>
    <t xml:space="preserve">Pop 21</t>
  </si>
  <si>
    <t xml:space="preserve">+998 90 9999111</t>
  </si>
  <si>
    <t xml:space="preserve">10.ID orqali xodimning Premiya + Maoshini qo‘shing, va natijani 2 ga bo‘ling (o‘rtacha daromad)</t>
  </si>
  <si>
    <t xml:space="preserve">Odil Abdullayev</t>
  </si>
  <si>
    <t xml:space="preserve">Yunusobod 19</t>
  </si>
  <si>
    <t xml:space="preserve">+998 93 5558877</t>
  </si>
  <si>
    <t xml:space="preserve">11.ID orqali xodimning Maoshi ni toping va agar 2000 dan kichik bo‘lsa 10% bonus qo‘shing</t>
  </si>
  <si>
    <t xml:space="preserve">Sarvar Raxmonov</t>
  </si>
  <si>
    <t xml:space="preserve">Payariq 7</t>
  </si>
  <si>
    <t xml:space="preserve">+998 93 3334455</t>
  </si>
  <si>
    <t xml:space="preserve">12.ID orqali xodimning Maoshi + Premiya yig‘indisini toping va agar 5000 dan katta bo‘lsa “VIP” deb chiqaring</t>
  </si>
  <si>
    <t xml:space="preserve">Abbos Karimov</t>
  </si>
  <si>
    <t xml:space="preserve">Bektemir 2</t>
  </si>
  <si>
    <t xml:space="preserve">+998 93 4445577</t>
  </si>
  <si>
    <t xml:space="preserve">Dilshod Rustamov</t>
  </si>
  <si>
    <t xml:space="preserve">Baliqchi 18</t>
  </si>
  <si>
    <t xml:space="preserve">+998 90 9998822</t>
  </si>
  <si>
    <t xml:space="preserve">Jalon Akbarov</t>
  </si>
  <si>
    <t xml:space="preserve">Chilonzor 33</t>
  </si>
  <si>
    <t xml:space="preserve">+998 93 8888999</t>
  </si>
  <si>
    <t xml:space="preserve">Shodlik Nurmatov</t>
  </si>
  <si>
    <t xml:space="preserve">Mingbuloq 9</t>
  </si>
  <si>
    <t xml:space="preserve">+998 93 4567123</t>
  </si>
  <si>
    <t xml:space="preserve">Abduraxmon Toirov</t>
  </si>
  <si>
    <t xml:space="preserve">Bulungur 16</t>
  </si>
  <si>
    <t xml:space="preserve">+998 93 5678222</t>
  </si>
  <si>
    <t xml:space="preserve">Jashon Alimov</t>
  </si>
  <si>
    <t xml:space="preserve">Uchtepa 44</t>
  </si>
  <si>
    <t xml:space="preserve">+998 93 2345111</t>
  </si>
  <si>
    <t xml:space="preserve">Bekzod Abdullaev</t>
  </si>
  <si>
    <t xml:space="preserve">Mirzo Ulugbek 3</t>
  </si>
  <si>
    <t xml:space="preserve">+998 93 4321987</t>
  </si>
  <si>
    <t xml:space="preserve">Ulugbek Soliyev</t>
  </si>
  <si>
    <t xml:space="preserve">Xonobod 12</t>
  </si>
  <si>
    <t xml:space="preserve">+998 93 3212111</t>
  </si>
  <si>
    <t xml:space="preserve">Dilmurod Akbarov</t>
  </si>
  <si>
    <t xml:space="preserve">Registon 5</t>
  </si>
  <si>
    <t xml:space="preserve">+998 93 1234333</t>
  </si>
  <si>
    <t xml:space="preserve">Aziz Raxmatov</t>
  </si>
  <si>
    <t xml:space="preserve">Chilonzor 77</t>
  </si>
  <si>
    <t xml:space="preserve">+998 93 4567888</t>
  </si>
  <si>
    <t xml:space="preserve">Javlon Soliyev</t>
  </si>
  <si>
    <t xml:space="preserve">Sergeli 90</t>
  </si>
  <si>
    <t xml:space="preserve">+998 90 9876555</t>
  </si>
  <si>
    <t xml:space="preserve">Sardor Karimov</t>
  </si>
  <si>
    <t xml:space="preserve">Uychi 11</t>
  </si>
  <si>
    <t xml:space="preserve">+998 93 4567111</t>
  </si>
  <si>
    <t xml:space="preserve">Komron Raxmonov</t>
  </si>
  <si>
    <t xml:space="preserve">Olmazor 15</t>
  </si>
  <si>
    <t xml:space="preserve">+998 93 2222111</t>
  </si>
  <si>
    <t xml:space="preserve">Shodiyor Akbarov</t>
  </si>
  <si>
    <t xml:space="preserve">Pastdargom 20</t>
  </si>
  <si>
    <t xml:space="preserve">+998 93 3332111</t>
  </si>
  <si>
    <t xml:space="preserve">Jashon Raximov</t>
  </si>
  <si>
    <t xml:space="preserve">Shahrixon 6</t>
  </si>
  <si>
    <t xml:space="preserve">+998 93 4444222</t>
  </si>
  <si>
    <t xml:space="preserve">Abdukarim Soliyev</t>
  </si>
  <si>
    <t xml:space="preserve">Yunusobod 1</t>
  </si>
  <si>
    <t xml:space="preserve">+998 93 5555444</t>
  </si>
  <si>
    <t xml:space="preserve">Muhammad Akbarov</t>
  </si>
  <si>
    <t xml:space="preserve">Chilonzor 55</t>
  </si>
  <si>
    <t xml:space="preserve">+998 93 6666333</t>
  </si>
  <si>
    <t xml:space="preserve">Ilhomjon Raxmonov</t>
  </si>
  <si>
    <t xml:space="preserve">Urgut 100</t>
  </si>
  <si>
    <t xml:space="preserve">+998 93 7777888</t>
  </si>
  <si>
    <t>Ovqat</t>
  </si>
  <si>
    <t xml:space="preserve">Qo'y go'shti</t>
  </si>
  <si>
    <t xml:space="preserve">Mol go'shti</t>
  </si>
  <si>
    <t xml:space="preserve">Tovuq go'shti</t>
  </si>
  <si>
    <t xml:space="preserve">Ovqat nomi orqali Qo‘y go‘shti narxini topib, agar 40000 dan katta bo‘lsa “Qimmat” aks holda “Arzon” deb chiqaring</t>
  </si>
  <si>
    <t>Osh</t>
  </si>
  <si>
    <t xml:space="preserve">Ovqat nomi orqali Mol go‘shti narxini topib, agar 60000 dan katta bo‘lsa “Premium” deb belgilang</t>
  </si>
  <si>
    <t>Shashlik</t>
  </si>
  <si>
    <t xml:space="preserve">Ovqat nomi orqali Tovuq go‘shti narxini topib, agar 30000 dan kichik bo‘lsa “Arzon” deb chiqaring</t>
  </si>
  <si>
    <t>Manti</t>
  </si>
  <si>
    <t xml:space="preserve">Ovqat nomi orqali 3 ta go‘sht narxini topib, umumiy summasini hisoblang</t>
  </si>
  <si>
    <t>Somsa</t>
  </si>
  <si>
    <t xml:space="preserve">Ovqat nomi orqali Qo‘y + Mol narxini topib, yig‘indisini chiqaring</t>
  </si>
  <si>
    <t>Norin</t>
  </si>
  <si>
    <t xml:space="preserve">Ovqat nomi orqali Mol + Tovuq narxini topib, agar 100000 dan katta bo‘lsa “Yaxshi” deb chiqaring</t>
  </si>
  <si>
    <t>Sho'rva</t>
  </si>
  <si>
    <t xml:space="preserve">Ovqat nomi orqali barcha narxlarni topib, agar umumiy summa 150000 dan katta bo‘lsa “Qimmat ovqat” deb belgilang</t>
  </si>
  <si>
    <t xml:space="preserve">Ovqat nomi orqali Qo‘y narxini topib, unga 10% qo‘shing (yangi narx)</t>
  </si>
  <si>
    <t>Tovuq</t>
  </si>
  <si>
    <t>Qo'y</t>
  </si>
  <si>
    <t>Mol</t>
  </si>
  <si>
    <t xml:space="preserve">Ovqat nomi orqali Mol narxini topib, uni 2 ga ko‘paytiring</t>
  </si>
  <si>
    <t xml:space="preserve">Ovqat nomi orqali Tovuq narxini topib, agar 35000 dan katta bo‘lsa 5000 qo‘shing aks holda o‘zgarmasin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</si>
</sst>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[$€-2]\ * #,##0.00_-;\-[$€-2]\ * #,##0.00_-;_-[$€-2]\ * \-??_-;_-@_-"/>
    <numFmt numFmtId="165" formatCode="_-[$€-2]\ * #,##0_-;\-[$€-2]\ * #,##0_-;_-[$€-2]\ * \-??_-;_-@_-"/>
  </numFmts>
  <fonts count="3">
    <font>
      <sz val="11.000000"/>
      <color theme="1"/>
      <name val="Calibri"/>
    </font>
    <font>
      <b/>
      <sz val="11.000000"/>
      <name val="Calibri"/>
    </font>
    <font>
      <b/>
      <sz val="11.00000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0.59987182226020086"/>
        <bgColor rgb="FFA3DBFF"/>
      </patternFill>
    </fill>
    <fill>
      <patternFill patternType="solid">
        <fgColor theme="0"/>
        <bgColor indexed="55"/>
      </patternFill>
    </fill>
    <fill>
      <patternFill patternType="solid">
        <fgColor theme="9" tint="0.79989013336588644"/>
        <bgColor rgb="FFFFFFD7"/>
      </patternFill>
    </fill>
    <fill>
      <patternFill patternType="solid">
        <fgColor theme="9" tint="0.59987182226020086"/>
        <bgColor rgb="FFBDD7EE"/>
      </patternFill>
    </fill>
    <fill>
      <patternFill patternType="solid">
        <fgColor rgb="FFA3DBFF"/>
        <bgColor rgb="FFBDD7EE"/>
      </patternFill>
    </fill>
    <fill>
      <patternFill patternType="solid">
        <fgColor theme="7" tint="0.59987182226020086"/>
        <bgColor indexed="47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0" borderId="1" numFmtId="165" xfId="0" applyNumberForma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0" fillId="4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0" fillId="6" borderId="1" numFmtId="0" xfId="0" applyFill="1" applyBorder="1" applyAlignment="1">
      <alignment horizontal="center" vertical="center"/>
    </xf>
    <xf fontId="0" fillId="7" borderId="1" numFmtId="0" xfId="0" applyFill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1" workbookViewId="0">
      <selection activeCell="B45" activeCellId="0" sqref="B45"/>
    </sheetView>
  </sheetViews>
  <sheetFormatPr defaultColWidth="8.53515625" defaultRowHeight="14.25"/>
  <cols>
    <col bestFit="1" customWidth="1" min="1" max="1" style="1" width="4.90234375"/>
    <col bestFit="1" customWidth="1" min="2" max="2" style="1" width="19.19140625"/>
    <col bestFit="1" customWidth="1" min="3" max="3" style="1" width="16.90234375"/>
    <col bestFit="1" customWidth="1" min="4" max="4" style="1" width="15.28125"/>
    <col bestFit="1" customWidth="1" min="5" max="5" style="1" width="12.33203125"/>
    <col bestFit="1" customWidth="1" min="6" max="6" style="1" width="16.7109375"/>
    <col bestFit="1" customWidth="1" min="7" max="7" style="1" width="13.47265625"/>
    <col bestFit="1" customWidth="1" min="8" max="8" style="1" width="18.90234375"/>
    <col bestFit="1" customWidth="1" min="9" max="9" style="1" width="15.57421875"/>
    <col min="10" max="10" style="1" width="8.53515625"/>
    <col bestFit="1" customWidth="1" min="11" max="11" style="1" width="19.19140625"/>
    <col bestFit="1" customWidth="1" min="12" max="12" style="1" width="14.8125"/>
    <col bestFit="1" customWidth="1" min="13" max="13" style="1" width="4.90234375"/>
    <col bestFit="1" customWidth="1" min="14" max="14" style="1" width="4.5234375"/>
    <col bestFit="1" customWidth="1" min="15" max="15" style="1" width="6.421875"/>
    <col bestFit="1" customWidth="1" min="16" max="16" style="1" width="4.90234375"/>
    <col bestFit="1" customWidth="1" min="17" max="17" style="1" width="13.09375"/>
    <col bestFit="1" customWidth="1" min="18" max="18" style="1" width="4.90234375"/>
    <col bestFit="1" customWidth="1" min="19" max="19" style="1" width="5.953125"/>
    <col bestFit="1" customWidth="1" min="20" max="21" style="1" width="6.5234375"/>
    <col bestFit="1" customWidth="1" min="22" max="22" style="1" width="3.47265625"/>
    <col bestFit="1" customWidth="1" min="23" max="26" style="1" width="9.140625"/>
    <col bestFit="1" customWidth="1" min="27" max="27" style="1" width="2.8125"/>
    <col bestFit="1" customWidth="1" min="28" max="28" style="1" width="110.61328125"/>
    <col min="29" max="16384" style="1" width="8.53515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>
        <v>1</v>
      </c>
      <c r="L1" s="3">
        <v>2</v>
      </c>
      <c r="M1" s="3">
        <v>3</v>
      </c>
      <c r="N1" s="3">
        <v>4</v>
      </c>
      <c r="O1" s="3">
        <v>5</v>
      </c>
      <c r="P1" s="3">
        <v>6</v>
      </c>
      <c r="Q1" s="3">
        <v>7</v>
      </c>
      <c r="R1" s="3">
        <v>8</v>
      </c>
      <c r="S1" s="3">
        <v>9</v>
      </c>
      <c r="T1" s="3">
        <v>10</v>
      </c>
      <c r="U1" s="3">
        <v>11</v>
      </c>
      <c r="V1" s="3">
        <v>12</v>
      </c>
    </row>
    <row r="2">
      <c r="A2" s="4">
        <v>236</v>
      </c>
      <c r="B2" s="4" t="s">
        <v>9</v>
      </c>
      <c r="C2" s="4" t="s">
        <v>10</v>
      </c>
      <c r="D2" s="4" t="s">
        <v>11</v>
      </c>
      <c r="E2" s="5">
        <v>2424</v>
      </c>
      <c r="F2" s="6">
        <v>774</v>
      </c>
      <c r="G2" s="4" t="s">
        <v>12</v>
      </c>
      <c r="H2" s="4" t="s">
        <v>13</v>
      </c>
      <c r="I2" s="4" t="s">
        <v>14</v>
      </c>
      <c r="K2" s="4" t="str">
        <f t="shared" ref="K2:K31" si="0">VLOOKUP(A2, A2:I31, 2, 0)</f>
        <v xml:space="preserve">Jasur Nurmatov</v>
      </c>
      <c r="L2" s="4" t="str">
        <f t="shared" ref="L2:L31" si="1">VLOOKUP(B2, B2:J31, 2, 0)</f>
        <v xml:space="preserve">Chilonzor 12</v>
      </c>
      <c r="M2" s="4">
        <f t="shared" ref="M2:M31" si="2">VLOOKUP($A2, A2:I31, 5, 0)</f>
        <v>2424</v>
      </c>
      <c r="N2" s="4" t="str">
        <f t="shared" ref="N2:N31" si="3">IF((VLOOKUP($A2, A2:I31, 5, 0))&gt;3000, "Zo'r", "Kam")</f>
        <v>Kam</v>
      </c>
      <c r="O2" s="4" t="str">
        <f t="shared" ref="O2:O31" si="4">IF(VLOOKUP(A2,A2:I31,5,0)&gt;3000,"Yuqori","Past")</f>
        <v>Past</v>
      </c>
      <c r="P2" s="4">
        <f t="shared" ref="P2:P31" si="5">VLOOKUP(A2,A2:I31,5,0)+VLOOKUP(A2,A2:I31,6,0)</f>
        <v>3198</v>
      </c>
      <c r="Q2" s="4" t="str">
        <f t="shared" ref="Q2:Q31" si="6">IF(VLOOKUP(A2,A2:I31,5,0)+VLOOKUP(A2,A2:I31,6,0)&gt;4000,"Top employee","")</f>
        <v/>
      </c>
      <c r="R2" s="4">
        <f t="shared" ref="R2:R31" si="7">IF(VLOOKUP(A2,A2:I31,6,0)&gt;500,VLOOKUP(A2,A2:I31,6,0)+100,VLOOKUP(A2,A2:I31,6,0))</f>
        <v>874</v>
      </c>
      <c r="S2" s="4">
        <f t="shared" ref="S2:S31" si="8">VLOOKUP(A2,A2:I31,5,0)*12</f>
        <v>29088</v>
      </c>
      <c r="T2" s="4">
        <f t="shared" ref="T2:T31" si="9">(VLOOKUP(A2,A2:I31,5,0)+VLOOKUP(A2,A2:I31,6,0))/2</f>
        <v>1599</v>
      </c>
      <c r="U2" s="4">
        <f t="shared" ref="U2:U31" si="10">IF(VLOOKUP(A2,A2:I31,5,0)&lt;2000,VLOOKUP(A2,A2:I31,5,0)*1.1,VLOOKUP(A2,A2:I31,5,0))</f>
        <v>2424</v>
      </c>
      <c r="V2" s="4" t="str">
        <f t="shared" ref="V2:V31" si="11">IF(VLOOKUP(A2,A2:I31,5,0)+VLOOKUP(A2,A2:I31,6,0)&gt;5000,"VIP","")</f>
        <v/>
      </c>
      <c r="AB2" s="7" t="s">
        <v>15</v>
      </c>
    </row>
    <row r="3">
      <c r="A3" s="4">
        <v>126</v>
      </c>
      <c r="B3" s="4" t="s">
        <v>16</v>
      </c>
      <c r="C3" s="4" t="s">
        <v>17</v>
      </c>
      <c r="D3" s="4" t="s">
        <v>18</v>
      </c>
      <c r="E3" s="5">
        <v>3256</v>
      </c>
      <c r="F3" s="6">
        <v>402</v>
      </c>
      <c r="G3" s="4" t="s">
        <v>19</v>
      </c>
      <c r="H3" s="4" t="s">
        <v>20</v>
      </c>
      <c r="I3" s="4" t="s">
        <v>21</v>
      </c>
      <c r="K3" s="4" t="str">
        <f t="shared" si="0"/>
        <v xml:space="preserve">Sarvar Karimov</v>
      </c>
      <c r="L3" s="4" t="str">
        <f t="shared" si="1"/>
        <v xml:space="preserve">Yunusobod 45</v>
      </c>
      <c r="M3" s="4">
        <f t="shared" si="2"/>
        <v>3256</v>
      </c>
      <c r="N3" s="4" t="str">
        <f t="shared" si="3"/>
        <v>Zo'r</v>
      </c>
      <c r="O3" s="4" t="str">
        <f t="shared" si="4"/>
        <v>Yuqori</v>
      </c>
      <c r="P3" s="4">
        <f t="shared" si="5"/>
        <v>3658</v>
      </c>
      <c r="Q3" s="4" t="str">
        <f t="shared" si="6"/>
        <v/>
      </c>
      <c r="R3" s="4">
        <f t="shared" si="7"/>
        <v>402</v>
      </c>
      <c r="S3" s="4">
        <f t="shared" si="8"/>
        <v>39072</v>
      </c>
      <c r="T3" s="4">
        <f t="shared" si="9"/>
        <v>1829</v>
      </c>
      <c r="U3" s="4">
        <f t="shared" si="10"/>
        <v>3256</v>
      </c>
      <c r="V3" s="4" t="str">
        <f t="shared" si="11"/>
        <v/>
      </c>
      <c r="AB3" s="7" t="s">
        <v>22</v>
      </c>
    </row>
    <row r="4">
      <c r="A4" s="4">
        <v>1472</v>
      </c>
      <c r="B4" s="4" t="s">
        <v>23</v>
      </c>
      <c r="C4" s="4" t="s">
        <v>24</v>
      </c>
      <c r="D4" s="4" t="s">
        <v>25</v>
      </c>
      <c r="E4" s="5">
        <v>2461</v>
      </c>
      <c r="F4" s="6">
        <v>201</v>
      </c>
      <c r="G4" s="4" t="s">
        <v>12</v>
      </c>
      <c r="H4" s="4" t="s">
        <v>13</v>
      </c>
      <c r="I4" s="4" t="s">
        <v>14</v>
      </c>
      <c r="K4" s="4" t="str">
        <f t="shared" si="0"/>
        <v xml:space="preserve">Dilshod Raxmonov</v>
      </c>
      <c r="L4" s="4" t="str">
        <f t="shared" si="1"/>
        <v>Registon</v>
      </c>
      <c r="M4" s="4">
        <f t="shared" si="2"/>
        <v>2461</v>
      </c>
      <c r="N4" s="4" t="str">
        <f t="shared" si="3"/>
        <v>Kam</v>
      </c>
      <c r="O4" s="4" t="str">
        <f t="shared" si="4"/>
        <v>Past</v>
      </c>
      <c r="P4" s="4">
        <f t="shared" si="5"/>
        <v>2662</v>
      </c>
      <c r="Q4" s="4" t="str">
        <f t="shared" si="6"/>
        <v/>
      </c>
      <c r="R4" s="4">
        <f t="shared" si="7"/>
        <v>201</v>
      </c>
      <c r="S4" s="4">
        <f t="shared" si="8"/>
        <v>29532</v>
      </c>
      <c r="T4" s="4">
        <f t="shared" si="9"/>
        <v>1331</v>
      </c>
      <c r="U4" s="4">
        <f t="shared" si="10"/>
        <v>2461</v>
      </c>
      <c r="V4" s="4" t="str">
        <f t="shared" si="11"/>
        <v/>
      </c>
      <c r="AB4" s="7" t="s">
        <v>26</v>
      </c>
    </row>
    <row r="5">
      <c r="A5" s="4">
        <v>1237</v>
      </c>
      <c r="B5" s="4" t="s">
        <v>27</v>
      </c>
      <c r="C5" s="4" t="s">
        <v>28</v>
      </c>
      <c r="D5" s="4" t="s">
        <v>29</v>
      </c>
      <c r="E5" s="5">
        <v>4303</v>
      </c>
      <c r="F5" s="6">
        <v>870</v>
      </c>
      <c r="G5" s="4" t="s">
        <v>19</v>
      </c>
      <c r="H5" s="4" t="s">
        <v>20</v>
      </c>
      <c r="I5" s="4" t="s">
        <v>21</v>
      </c>
      <c r="K5" s="4" t="str">
        <f t="shared" si="0"/>
        <v xml:space="preserve">Jashon Abdullaev</v>
      </c>
      <c r="L5" s="4" t="str">
        <f t="shared" si="1"/>
        <v xml:space="preserve">Markaz 22</v>
      </c>
      <c r="M5" s="4">
        <f t="shared" si="2"/>
        <v>4303</v>
      </c>
      <c r="N5" s="4" t="str">
        <f t="shared" si="3"/>
        <v>Zo'r</v>
      </c>
      <c r="O5" s="4" t="str">
        <f t="shared" si="4"/>
        <v>Yuqori</v>
      </c>
      <c r="P5" s="4">
        <f t="shared" si="5"/>
        <v>5173</v>
      </c>
      <c r="Q5" s="4" t="str">
        <f t="shared" si="6"/>
        <v xml:space="preserve">Top employee</v>
      </c>
      <c r="R5" s="4">
        <f t="shared" si="7"/>
        <v>970</v>
      </c>
      <c r="S5" s="4">
        <f t="shared" si="8"/>
        <v>51636</v>
      </c>
      <c r="T5" s="4">
        <f t="shared" si="9"/>
        <v>2586.5</v>
      </c>
      <c r="U5" s="4">
        <f t="shared" si="10"/>
        <v>4303</v>
      </c>
      <c r="V5" s="4" t="str">
        <f t="shared" si="11"/>
        <v>VIP</v>
      </c>
      <c r="AB5" s="7" t="s">
        <v>30</v>
      </c>
    </row>
    <row r="6">
      <c r="A6" s="4">
        <v>889</v>
      </c>
      <c r="B6" s="4" t="s">
        <v>31</v>
      </c>
      <c r="C6" s="4" t="s">
        <v>32</v>
      </c>
      <c r="D6" s="4" t="s">
        <v>33</v>
      </c>
      <c r="E6" s="5">
        <v>4009</v>
      </c>
      <c r="F6" s="6">
        <v>362</v>
      </c>
      <c r="G6" s="4" t="s">
        <v>12</v>
      </c>
      <c r="H6" s="4" t="s">
        <v>13</v>
      </c>
      <c r="I6" s="4" t="s">
        <v>14</v>
      </c>
      <c r="K6" s="4" t="str">
        <f t="shared" si="0"/>
        <v xml:space="preserve">Shoxrux Yuldashev</v>
      </c>
      <c r="L6" s="4" t="str">
        <f t="shared" si="1"/>
        <v xml:space="preserve">Chortoq 10</v>
      </c>
      <c r="M6" s="4">
        <f t="shared" si="2"/>
        <v>4009</v>
      </c>
      <c r="N6" s="4" t="str">
        <f t="shared" si="3"/>
        <v>Zo'r</v>
      </c>
      <c r="O6" s="4" t="str">
        <f t="shared" si="4"/>
        <v>Yuqori</v>
      </c>
      <c r="P6" s="4">
        <f t="shared" si="5"/>
        <v>4371</v>
      </c>
      <c r="Q6" s="4" t="str">
        <f t="shared" si="6"/>
        <v xml:space="preserve">Top employee</v>
      </c>
      <c r="R6" s="4">
        <f t="shared" si="7"/>
        <v>362</v>
      </c>
      <c r="S6" s="4">
        <f t="shared" si="8"/>
        <v>48108</v>
      </c>
      <c r="T6" s="4">
        <f t="shared" si="9"/>
        <v>2185.5</v>
      </c>
      <c r="U6" s="4">
        <f t="shared" si="10"/>
        <v>4009</v>
      </c>
      <c r="V6" s="4" t="str">
        <f t="shared" si="11"/>
        <v/>
      </c>
      <c r="AB6" s="7" t="s">
        <v>34</v>
      </c>
    </row>
    <row r="7">
      <c r="A7" s="4">
        <v>161</v>
      </c>
      <c r="B7" s="4" t="s">
        <v>35</v>
      </c>
      <c r="C7" s="4" t="s">
        <v>36</v>
      </c>
      <c r="D7" s="4" t="s">
        <v>37</v>
      </c>
      <c r="E7" s="5">
        <v>4158</v>
      </c>
      <c r="F7" s="6">
        <v>652</v>
      </c>
      <c r="G7" s="4" t="s">
        <v>19</v>
      </c>
      <c r="H7" s="4" t="s">
        <v>20</v>
      </c>
      <c r="I7" s="4" t="s">
        <v>21</v>
      </c>
      <c r="K7" s="4" t="str">
        <f t="shared" si="0"/>
        <v xml:space="preserve">Akmal Toshpulatov</v>
      </c>
      <c r="L7" s="4" t="str">
        <f t="shared" si="1"/>
        <v xml:space="preserve">Olmazor 8</v>
      </c>
      <c r="M7" s="4">
        <f t="shared" si="2"/>
        <v>4158</v>
      </c>
      <c r="N7" s="4" t="str">
        <f t="shared" si="3"/>
        <v>Zo'r</v>
      </c>
      <c r="O7" s="4" t="str">
        <f t="shared" si="4"/>
        <v>Yuqori</v>
      </c>
      <c r="P7" s="4">
        <f t="shared" si="5"/>
        <v>4810</v>
      </c>
      <c r="Q7" s="4" t="str">
        <f t="shared" si="6"/>
        <v xml:space="preserve">Top employee</v>
      </c>
      <c r="R7" s="4">
        <f t="shared" si="7"/>
        <v>752</v>
      </c>
      <c r="S7" s="4">
        <f t="shared" si="8"/>
        <v>49896</v>
      </c>
      <c r="T7" s="4">
        <f t="shared" si="9"/>
        <v>2405</v>
      </c>
      <c r="U7" s="4">
        <f t="shared" si="10"/>
        <v>4158</v>
      </c>
      <c r="V7" s="4" t="str">
        <f t="shared" si="11"/>
        <v/>
      </c>
      <c r="AB7" s="7" t="s">
        <v>38</v>
      </c>
    </row>
    <row r="8">
      <c r="A8" s="4">
        <v>1097</v>
      </c>
      <c r="B8" s="4" t="s">
        <v>39</v>
      </c>
      <c r="C8" s="4" t="s">
        <v>40</v>
      </c>
      <c r="D8" s="4" t="s">
        <v>41</v>
      </c>
      <c r="E8" s="5">
        <v>1713</v>
      </c>
      <c r="F8" s="6">
        <v>176</v>
      </c>
      <c r="G8" s="4" t="s">
        <v>12</v>
      </c>
      <c r="H8" s="4" t="s">
        <v>13</v>
      </c>
      <c r="I8" s="4" t="s">
        <v>14</v>
      </c>
      <c r="K8" s="4" t="str">
        <f t="shared" si="0"/>
        <v xml:space="preserve">Bekzod Rustamov</v>
      </c>
      <c r="L8" s="4" t="str">
        <f t="shared" si="1"/>
        <v xml:space="preserve">Urgut 14</v>
      </c>
      <c r="M8" s="4">
        <f t="shared" si="2"/>
        <v>1713</v>
      </c>
      <c r="N8" s="4" t="str">
        <f t="shared" si="3"/>
        <v>Kam</v>
      </c>
      <c r="O8" s="4" t="str">
        <f t="shared" si="4"/>
        <v>Past</v>
      </c>
      <c r="P8" s="4">
        <f t="shared" si="5"/>
        <v>1889</v>
      </c>
      <c r="Q8" s="4" t="str">
        <f t="shared" si="6"/>
        <v/>
      </c>
      <c r="R8" s="4">
        <f t="shared" si="7"/>
        <v>176</v>
      </c>
      <c r="S8" s="4">
        <f t="shared" si="8"/>
        <v>20556</v>
      </c>
      <c r="T8" s="4">
        <f t="shared" si="9"/>
        <v>944.5</v>
      </c>
      <c r="U8" s="4">
        <f t="shared" si="10"/>
        <v>1884.3000000000002</v>
      </c>
      <c r="V8" s="4" t="str">
        <f t="shared" si="11"/>
        <v/>
      </c>
      <c r="AB8" s="7" t="s">
        <v>42</v>
      </c>
    </row>
    <row r="9">
      <c r="A9" s="4">
        <v>35</v>
      </c>
      <c r="B9" s="4" t="s">
        <v>43</v>
      </c>
      <c r="C9" s="4" t="s">
        <v>44</v>
      </c>
      <c r="D9" s="4" t="s">
        <v>45</v>
      </c>
      <c r="E9" s="5">
        <v>3153</v>
      </c>
      <c r="F9" s="6">
        <v>767</v>
      </c>
      <c r="G9" s="4" t="s">
        <v>19</v>
      </c>
      <c r="H9" s="4" t="s">
        <v>20</v>
      </c>
      <c r="I9" s="4" t="s">
        <v>21</v>
      </c>
      <c r="K9" s="4" t="str">
        <f t="shared" si="0"/>
        <v xml:space="preserve">Murod Karimov</v>
      </c>
      <c r="L9" s="4" t="str">
        <f t="shared" si="1"/>
        <v xml:space="preserve">Asaka 4</v>
      </c>
      <c r="M9" s="4">
        <f t="shared" si="2"/>
        <v>3153</v>
      </c>
      <c r="N9" s="4" t="str">
        <f t="shared" si="3"/>
        <v>Zo'r</v>
      </c>
      <c r="O9" s="4" t="str">
        <f t="shared" si="4"/>
        <v>Yuqori</v>
      </c>
      <c r="P9" s="4">
        <f t="shared" si="5"/>
        <v>3920</v>
      </c>
      <c r="Q9" s="4" t="str">
        <f t="shared" si="6"/>
        <v/>
      </c>
      <c r="R9" s="4">
        <f t="shared" si="7"/>
        <v>867</v>
      </c>
      <c r="S9" s="4">
        <f t="shared" si="8"/>
        <v>37836</v>
      </c>
      <c r="T9" s="4">
        <f t="shared" si="9"/>
        <v>1960</v>
      </c>
      <c r="U9" s="4">
        <f t="shared" si="10"/>
        <v>3153</v>
      </c>
      <c r="V9" s="4" t="str">
        <f t="shared" si="11"/>
        <v/>
      </c>
      <c r="AB9" s="7" t="s">
        <v>46</v>
      </c>
    </row>
    <row r="10">
      <c r="A10" s="4">
        <v>461</v>
      </c>
      <c r="B10" s="4" t="s">
        <v>47</v>
      </c>
      <c r="C10" s="4" t="s">
        <v>48</v>
      </c>
      <c r="D10" s="4" t="s">
        <v>49</v>
      </c>
      <c r="E10" s="5">
        <v>4947</v>
      </c>
      <c r="F10" s="6">
        <v>768</v>
      </c>
      <c r="G10" s="4" t="s">
        <v>12</v>
      </c>
      <c r="H10" s="4" t="s">
        <v>13</v>
      </c>
      <c r="I10" s="4" t="s">
        <v>14</v>
      </c>
      <c r="K10" s="4" t="str">
        <f t="shared" si="0"/>
        <v xml:space="preserve">Ilhom Rahimov</v>
      </c>
      <c r="L10" s="4" t="str">
        <f t="shared" si="1"/>
        <v xml:space="preserve">Sergeli 6</v>
      </c>
      <c r="M10" s="4">
        <f t="shared" si="2"/>
        <v>4947</v>
      </c>
      <c r="N10" s="4" t="str">
        <f t="shared" si="3"/>
        <v>Zo'r</v>
      </c>
      <c r="O10" s="4" t="str">
        <f t="shared" si="4"/>
        <v>Yuqori</v>
      </c>
      <c r="P10" s="4">
        <f t="shared" si="5"/>
        <v>5715</v>
      </c>
      <c r="Q10" s="4" t="str">
        <f t="shared" si="6"/>
        <v xml:space="preserve">Top employee</v>
      </c>
      <c r="R10" s="4">
        <f t="shared" si="7"/>
        <v>868</v>
      </c>
      <c r="S10" s="4">
        <f t="shared" si="8"/>
        <v>59364</v>
      </c>
      <c r="T10" s="4">
        <f t="shared" si="9"/>
        <v>2857.5</v>
      </c>
      <c r="U10" s="4">
        <f t="shared" si="10"/>
        <v>4947</v>
      </c>
      <c r="V10" s="4" t="str">
        <f t="shared" si="11"/>
        <v>VIP</v>
      </c>
      <c r="AB10" s="7" t="s">
        <v>50</v>
      </c>
    </row>
    <row r="11">
      <c r="A11" s="4">
        <v>220</v>
      </c>
      <c r="B11" s="4" t="s">
        <v>51</v>
      </c>
      <c r="C11" s="4" t="s">
        <v>52</v>
      </c>
      <c r="D11" s="4" t="s">
        <v>53</v>
      </c>
      <c r="E11" s="5">
        <v>3318</v>
      </c>
      <c r="F11" s="6">
        <v>318</v>
      </c>
      <c r="G11" s="4" t="s">
        <v>19</v>
      </c>
      <c r="H11" s="4" t="s">
        <v>20</v>
      </c>
      <c r="I11" s="4" t="s">
        <v>21</v>
      </c>
      <c r="K11" s="4" t="str">
        <f t="shared" si="0"/>
        <v xml:space="preserve">Jasur Aliyev</v>
      </c>
      <c r="L11" s="4" t="str">
        <f t="shared" si="1"/>
        <v xml:space="preserve">Pop 21</v>
      </c>
      <c r="M11" s="4">
        <f t="shared" si="2"/>
        <v>3318</v>
      </c>
      <c r="N11" s="4" t="str">
        <f t="shared" si="3"/>
        <v>Zo'r</v>
      </c>
      <c r="O11" s="4" t="str">
        <f t="shared" si="4"/>
        <v>Yuqori</v>
      </c>
      <c r="P11" s="4">
        <f t="shared" si="5"/>
        <v>3636</v>
      </c>
      <c r="Q11" s="4" t="str">
        <f t="shared" si="6"/>
        <v/>
      </c>
      <c r="R11" s="4">
        <f t="shared" si="7"/>
        <v>318</v>
      </c>
      <c r="S11" s="4">
        <f t="shared" si="8"/>
        <v>39816</v>
      </c>
      <c r="T11" s="4">
        <f t="shared" si="9"/>
        <v>1818</v>
      </c>
      <c r="U11" s="4">
        <f t="shared" si="10"/>
        <v>3318</v>
      </c>
      <c r="V11" s="4" t="str">
        <f t="shared" si="11"/>
        <v/>
      </c>
      <c r="AB11" s="7" t="s">
        <v>54</v>
      </c>
    </row>
    <row r="12">
      <c r="A12" s="4">
        <v>1319</v>
      </c>
      <c r="B12" s="4" t="s">
        <v>55</v>
      </c>
      <c r="C12" s="4" t="s">
        <v>56</v>
      </c>
      <c r="D12" s="4" t="s">
        <v>57</v>
      </c>
      <c r="E12" s="5">
        <v>3323</v>
      </c>
      <c r="F12" s="6">
        <v>746</v>
      </c>
      <c r="G12" s="4" t="s">
        <v>12</v>
      </c>
      <c r="H12" s="4" t="s">
        <v>13</v>
      </c>
      <c r="I12" s="4" t="s">
        <v>14</v>
      </c>
      <c r="K12" s="4" t="str">
        <f t="shared" si="0"/>
        <v xml:space="preserve">Odil Abdullayev</v>
      </c>
      <c r="L12" s="4" t="str">
        <f t="shared" si="1"/>
        <v xml:space="preserve">Yunusobod 19</v>
      </c>
      <c r="M12" s="4">
        <f t="shared" si="2"/>
        <v>3323</v>
      </c>
      <c r="N12" s="4" t="str">
        <f t="shared" si="3"/>
        <v>Zo'r</v>
      </c>
      <c r="O12" s="4" t="str">
        <f t="shared" si="4"/>
        <v>Yuqori</v>
      </c>
      <c r="P12" s="4">
        <f t="shared" si="5"/>
        <v>4069</v>
      </c>
      <c r="Q12" s="4" t="str">
        <f t="shared" si="6"/>
        <v xml:space="preserve">Top employee</v>
      </c>
      <c r="R12" s="4">
        <f t="shared" si="7"/>
        <v>846</v>
      </c>
      <c r="S12" s="4">
        <f t="shared" si="8"/>
        <v>39876</v>
      </c>
      <c r="T12" s="4">
        <f t="shared" si="9"/>
        <v>2034.5</v>
      </c>
      <c r="U12" s="4">
        <f t="shared" si="10"/>
        <v>3323</v>
      </c>
      <c r="V12" s="4" t="str">
        <f t="shared" si="11"/>
        <v/>
      </c>
      <c r="AB12" s="7" t="s">
        <v>58</v>
      </c>
    </row>
    <row r="13">
      <c r="A13" s="4">
        <v>1240</v>
      </c>
      <c r="B13" s="4" t="s">
        <v>59</v>
      </c>
      <c r="C13" s="4" t="s">
        <v>60</v>
      </c>
      <c r="D13" s="4" t="s">
        <v>61</v>
      </c>
      <c r="E13" s="5">
        <v>1772</v>
      </c>
      <c r="F13" s="6">
        <v>242</v>
      </c>
      <c r="G13" s="4" t="s">
        <v>19</v>
      </c>
      <c r="H13" s="4" t="s">
        <v>20</v>
      </c>
      <c r="I13" s="4" t="s">
        <v>21</v>
      </c>
      <c r="K13" s="4" t="str">
        <f t="shared" si="0"/>
        <v xml:space="preserve">Sarvar Raxmonov</v>
      </c>
      <c r="L13" s="4" t="str">
        <f t="shared" si="1"/>
        <v xml:space="preserve">Payariq 7</v>
      </c>
      <c r="M13" s="4">
        <f t="shared" si="2"/>
        <v>1772</v>
      </c>
      <c r="N13" s="4" t="str">
        <f t="shared" si="3"/>
        <v>Kam</v>
      </c>
      <c r="O13" s="4" t="str">
        <f t="shared" si="4"/>
        <v>Past</v>
      </c>
      <c r="P13" s="4">
        <f t="shared" si="5"/>
        <v>2014</v>
      </c>
      <c r="Q13" s="4" t="str">
        <f t="shared" si="6"/>
        <v/>
      </c>
      <c r="R13" s="4">
        <f t="shared" si="7"/>
        <v>242</v>
      </c>
      <c r="S13" s="4">
        <f t="shared" si="8"/>
        <v>21264</v>
      </c>
      <c r="T13" s="4">
        <f t="shared" si="9"/>
        <v>1007</v>
      </c>
      <c r="U13" s="4">
        <f t="shared" si="10"/>
        <v>1949.2</v>
      </c>
      <c r="V13" s="4" t="str">
        <f t="shared" si="11"/>
        <v/>
      </c>
      <c r="AB13" s="7" t="s">
        <v>62</v>
      </c>
    </row>
    <row r="14">
      <c r="A14" s="4">
        <v>302</v>
      </c>
      <c r="B14" s="4" t="s">
        <v>63</v>
      </c>
      <c r="C14" s="4" t="s">
        <v>64</v>
      </c>
      <c r="D14" s="4" t="s">
        <v>65</v>
      </c>
      <c r="E14" s="5">
        <v>4401</v>
      </c>
      <c r="F14" s="6">
        <v>637</v>
      </c>
      <c r="G14" s="4" t="s">
        <v>12</v>
      </c>
      <c r="H14" s="4" t="s">
        <v>13</v>
      </c>
      <c r="I14" s="4" t="s">
        <v>14</v>
      </c>
      <c r="K14" s="4" t="str">
        <f t="shared" si="0"/>
        <v xml:space="preserve">Abbos Karimov</v>
      </c>
      <c r="L14" s="4" t="str">
        <f t="shared" si="1"/>
        <v xml:space="preserve">Bektemir 2</v>
      </c>
      <c r="M14" s="4">
        <f t="shared" si="2"/>
        <v>4401</v>
      </c>
      <c r="N14" s="4" t="str">
        <f t="shared" si="3"/>
        <v>Zo'r</v>
      </c>
      <c r="O14" s="4" t="str">
        <f t="shared" si="4"/>
        <v>Yuqori</v>
      </c>
      <c r="P14" s="4">
        <f t="shared" si="5"/>
        <v>5038</v>
      </c>
      <c r="Q14" s="4" t="str">
        <f t="shared" si="6"/>
        <v xml:space="preserve">Top employee</v>
      </c>
      <c r="R14" s="4">
        <f t="shared" si="7"/>
        <v>737</v>
      </c>
      <c r="S14" s="4">
        <f t="shared" si="8"/>
        <v>52812</v>
      </c>
      <c r="T14" s="4">
        <f t="shared" si="9"/>
        <v>2519</v>
      </c>
      <c r="U14" s="4">
        <f t="shared" si="10"/>
        <v>4401</v>
      </c>
      <c r="V14" s="4" t="str">
        <f t="shared" si="11"/>
        <v>VIP</v>
      </c>
    </row>
    <row r="15">
      <c r="A15" s="4">
        <v>115</v>
      </c>
      <c r="B15" s="4" t="s">
        <v>66</v>
      </c>
      <c r="C15" s="4" t="s">
        <v>67</v>
      </c>
      <c r="D15" s="4" t="s">
        <v>68</v>
      </c>
      <c r="E15" s="5">
        <v>4238</v>
      </c>
      <c r="F15" s="6">
        <v>969</v>
      </c>
      <c r="G15" s="4" t="s">
        <v>19</v>
      </c>
      <c r="H15" s="4" t="s">
        <v>20</v>
      </c>
      <c r="I15" s="4" t="s">
        <v>21</v>
      </c>
      <c r="K15" s="4" t="str">
        <f t="shared" si="0"/>
        <v xml:space="preserve">Dilshod Rustamov</v>
      </c>
      <c r="L15" s="4" t="str">
        <f t="shared" si="1"/>
        <v xml:space="preserve">Baliqchi 18</v>
      </c>
      <c r="M15" s="4">
        <f t="shared" si="2"/>
        <v>4238</v>
      </c>
      <c r="N15" s="4" t="str">
        <f t="shared" si="3"/>
        <v>Zo'r</v>
      </c>
      <c r="O15" s="4" t="str">
        <f t="shared" si="4"/>
        <v>Yuqori</v>
      </c>
      <c r="P15" s="4">
        <f t="shared" si="5"/>
        <v>5207</v>
      </c>
      <c r="Q15" s="4" t="str">
        <f t="shared" si="6"/>
        <v xml:space="preserve">Top employee</v>
      </c>
      <c r="R15" s="4">
        <f t="shared" si="7"/>
        <v>1069</v>
      </c>
      <c r="S15" s="4">
        <f t="shared" si="8"/>
        <v>50856</v>
      </c>
      <c r="T15" s="4">
        <f t="shared" si="9"/>
        <v>2603.5</v>
      </c>
      <c r="U15" s="4">
        <f t="shared" si="10"/>
        <v>4238</v>
      </c>
      <c r="V15" s="4" t="str">
        <f t="shared" si="11"/>
        <v>VIP</v>
      </c>
    </row>
    <row r="16">
      <c r="A16" s="4">
        <v>896</v>
      </c>
      <c r="B16" s="4" t="s">
        <v>69</v>
      </c>
      <c r="C16" s="4" t="s">
        <v>70</v>
      </c>
      <c r="D16" s="4" t="s">
        <v>71</v>
      </c>
      <c r="E16" s="5">
        <v>1781</v>
      </c>
      <c r="F16" s="6">
        <v>716</v>
      </c>
      <c r="G16" s="4" t="s">
        <v>12</v>
      </c>
      <c r="H16" s="4" t="s">
        <v>13</v>
      </c>
      <c r="I16" s="4" t="s">
        <v>14</v>
      </c>
      <c r="K16" s="4" t="str">
        <f t="shared" si="0"/>
        <v xml:space="preserve">Jalon Akbarov</v>
      </c>
      <c r="L16" s="4" t="str">
        <f t="shared" si="1"/>
        <v xml:space="preserve">Chilonzor 33</v>
      </c>
      <c r="M16" s="4">
        <f t="shared" si="2"/>
        <v>1781</v>
      </c>
      <c r="N16" s="4" t="str">
        <f t="shared" si="3"/>
        <v>Kam</v>
      </c>
      <c r="O16" s="4" t="str">
        <f t="shared" si="4"/>
        <v>Past</v>
      </c>
      <c r="P16" s="4">
        <f t="shared" si="5"/>
        <v>2497</v>
      </c>
      <c r="Q16" s="4" t="str">
        <f t="shared" si="6"/>
        <v/>
      </c>
      <c r="R16" s="4">
        <f t="shared" si="7"/>
        <v>816</v>
      </c>
      <c r="S16" s="4">
        <f t="shared" si="8"/>
        <v>21372</v>
      </c>
      <c r="T16" s="4">
        <f t="shared" si="9"/>
        <v>1248.5</v>
      </c>
      <c r="U16" s="4">
        <f t="shared" si="10"/>
        <v>1959.1000000000001</v>
      </c>
      <c r="V16" s="4" t="str">
        <f t="shared" si="11"/>
        <v/>
      </c>
    </row>
    <row r="17">
      <c r="A17" s="4">
        <v>1389</v>
      </c>
      <c r="B17" s="4" t="s">
        <v>72</v>
      </c>
      <c r="C17" s="4" t="s">
        <v>73</v>
      </c>
      <c r="D17" s="4" t="s">
        <v>74</v>
      </c>
      <c r="E17" s="5">
        <v>3305</v>
      </c>
      <c r="F17" s="6">
        <v>264</v>
      </c>
      <c r="G17" s="4" t="s">
        <v>19</v>
      </c>
      <c r="H17" s="4" t="s">
        <v>20</v>
      </c>
      <c r="I17" s="4" t="s">
        <v>21</v>
      </c>
      <c r="K17" s="4" t="str">
        <f t="shared" si="0"/>
        <v xml:space="preserve">Shodlik Nurmatov</v>
      </c>
      <c r="L17" s="4" t="str">
        <f t="shared" si="1"/>
        <v xml:space="preserve">Mingbuloq 9</v>
      </c>
      <c r="M17" s="4">
        <f t="shared" si="2"/>
        <v>3305</v>
      </c>
      <c r="N17" s="4" t="str">
        <f t="shared" si="3"/>
        <v>Zo'r</v>
      </c>
      <c r="O17" s="4" t="str">
        <f t="shared" si="4"/>
        <v>Yuqori</v>
      </c>
      <c r="P17" s="4">
        <f t="shared" si="5"/>
        <v>3569</v>
      </c>
      <c r="Q17" s="4" t="str">
        <f t="shared" si="6"/>
        <v/>
      </c>
      <c r="R17" s="4">
        <f t="shared" si="7"/>
        <v>264</v>
      </c>
      <c r="S17" s="4">
        <f t="shared" si="8"/>
        <v>39660</v>
      </c>
      <c r="T17" s="4">
        <f t="shared" si="9"/>
        <v>1784.5</v>
      </c>
      <c r="U17" s="4">
        <f t="shared" si="10"/>
        <v>3305</v>
      </c>
      <c r="V17" s="4" t="str">
        <f t="shared" si="11"/>
        <v/>
      </c>
    </row>
    <row r="18">
      <c r="A18" s="4">
        <v>1206</v>
      </c>
      <c r="B18" s="4" t="s">
        <v>75</v>
      </c>
      <c r="C18" s="4" t="s">
        <v>76</v>
      </c>
      <c r="D18" s="4" t="s">
        <v>77</v>
      </c>
      <c r="E18" s="5">
        <v>2386</v>
      </c>
      <c r="F18" s="6">
        <v>841</v>
      </c>
      <c r="G18" s="4" t="s">
        <v>12</v>
      </c>
      <c r="H18" s="4" t="s">
        <v>13</v>
      </c>
      <c r="I18" s="4" t="s">
        <v>14</v>
      </c>
      <c r="K18" s="4" t="str">
        <f t="shared" si="0"/>
        <v xml:space="preserve">Abduraxmon Toirov</v>
      </c>
      <c r="L18" s="4" t="str">
        <f t="shared" si="1"/>
        <v xml:space="preserve">Bulungur 16</v>
      </c>
      <c r="M18" s="4">
        <f t="shared" si="2"/>
        <v>2386</v>
      </c>
      <c r="N18" s="4" t="str">
        <f t="shared" si="3"/>
        <v>Kam</v>
      </c>
      <c r="O18" s="4" t="str">
        <f t="shared" si="4"/>
        <v>Past</v>
      </c>
      <c r="P18" s="4">
        <f t="shared" si="5"/>
        <v>3227</v>
      </c>
      <c r="Q18" s="4" t="str">
        <f t="shared" si="6"/>
        <v/>
      </c>
      <c r="R18" s="4">
        <f t="shared" si="7"/>
        <v>941</v>
      </c>
      <c r="S18" s="4">
        <f t="shared" si="8"/>
        <v>28632</v>
      </c>
      <c r="T18" s="4">
        <f t="shared" si="9"/>
        <v>1613.5</v>
      </c>
      <c r="U18" s="4">
        <f t="shared" si="10"/>
        <v>2386</v>
      </c>
      <c r="V18" s="4" t="str">
        <f t="shared" si="11"/>
        <v/>
      </c>
    </row>
    <row r="19">
      <c r="A19" s="4">
        <v>1707</v>
      </c>
      <c r="B19" s="4" t="s">
        <v>78</v>
      </c>
      <c r="C19" s="4" t="s">
        <v>79</v>
      </c>
      <c r="D19" s="4" t="s">
        <v>80</v>
      </c>
      <c r="E19" s="5">
        <v>1116</v>
      </c>
      <c r="F19" s="6">
        <v>432</v>
      </c>
      <c r="G19" s="4" t="s">
        <v>19</v>
      </c>
      <c r="H19" s="4" t="s">
        <v>20</v>
      </c>
      <c r="I19" s="4" t="s">
        <v>21</v>
      </c>
      <c r="K19" s="4" t="str">
        <f t="shared" si="0"/>
        <v xml:space="preserve">Jashon Alimov</v>
      </c>
      <c r="L19" s="4" t="str">
        <f t="shared" si="1"/>
        <v xml:space="preserve">Uchtepa 44</v>
      </c>
      <c r="M19" s="4">
        <f t="shared" si="2"/>
        <v>1116</v>
      </c>
      <c r="N19" s="4" t="str">
        <f t="shared" si="3"/>
        <v>Kam</v>
      </c>
      <c r="O19" s="4" t="str">
        <f t="shared" si="4"/>
        <v>Past</v>
      </c>
      <c r="P19" s="4">
        <f t="shared" si="5"/>
        <v>1548</v>
      </c>
      <c r="Q19" s="4" t="str">
        <f t="shared" si="6"/>
        <v/>
      </c>
      <c r="R19" s="4">
        <f t="shared" si="7"/>
        <v>432</v>
      </c>
      <c r="S19" s="4">
        <f t="shared" si="8"/>
        <v>13392</v>
      </c>
      <c r="T19" s="4">
        <f t="shared" si="9"/>
        <v>774</v>
      </c>
      <c r="U19" s="4">
        <f t="shared" si="10"/>
        <v>1227.6000000000001</v>
      </c>
      <c r="V19" s="4" t="str">
        <f t="shared" si="11"/>
        <v/>
      </c>
    </row>
    <row r="20" ht="12" customHeight="1">
      <c r="A20" s="4">
        <v>184</v>
      </c>
      <c r="B20" s="4" t="s">
        <v>81</v>
      </c>
      <c r="C20" s="4" t="s">
        <v>82</v>
      </c>
      <c r="D20" s="4" t="s">
        <v>83</v>
      </c>
      <c r="E20" s="5">
        <v>3398</v>
      </c>
      <c r="F20" s="6">
        <v>794</v>
      </c>
      <c r="G20" s="4" t="s">
        <v>12</v>
      </c>
      <c r="H20" s="4" t="s">
        <v>13</v>
      </c>
      <c r="I20" s="4" t="s">
        <v>14</v>
      </c>
      <c r="K20" s="4" t="str">
        <f t="shared" si="0"/>
        <v xml:space="preserve">Bekzod Abdullaev</v>
      </c>
      <c r="L20" s="4" t="str">
        <f t="shared" si="1"/>
        <v xml:space="preserve">Mirzo Ulugbek 3</v>
      </c>
      <c r="M20" s="4">
        <f t="shared" si="2"/>
        <v>3398</v>
      </c>
      <c r="N20" s="4" t="str">
        <f t="shared" si="3"/>
        <v>Zo'r</v>
      </c>
      <c r="O20" s="4" t="str">
        <f t="shared" si="4"/>
        <v>Yuqori</v>
      </c>
      <c r="P20" s="4">
        <f t="shared" si="5"/>
        <v>4192</v>
      </c>
      <c r="Q20" s="4" t="str">
        <f t="shared" si="6"/>
        <v xml:space="preserve">Top employee</v>
      </c>
      <c r="R20" s="4">
        <f t="shared" si="7"/>
        <v>894</v>
      </c>
      <c r="S20" s="4">
        <f t="shared" si="8"/>
        <v>40776</v>
      </c>
      <c r="T20" s="4">
        <f t="shared" si="9"/>
        <v>2096</v>
      </c>
      <c r="U20" s="4">
        <f t="shared" si="10"/>
        <v>3398</v>
      </c>
      <c r="V20" s="4" t="str">
        <f t="shared" si="11"/>
        <v/>
      </c>
    </row>
    <row r="21">
      <c r="A21" s="4">
        <v>906</v>
      </c>
      <c r="B21" s="4" t="s">
        <v>84</v>
      </c>
      <c r="C21" s="4" t="s">
        <v>85</v>
      </c>
      <c r="D21" s="4" t="s">
        <v>86</v>
      </c>
      <c r="E21" s="5">
        <v>4128</v>
      </c>
      <c r="F21" s="6">
        <v>443</v>
      </c>
      <c r="G21" s="4" t="s">
        <v>19</v>
      </c>
      <c r="H21" s="4" t="s">
        <v>20</v>
      </c>
      <c r="I21" s="4" t="s">
        <v>21</v>
      </c>
      <c r="K21" s="4" t="str">
        <f t="shared" si="0"/>
        <v xml:space="preserve">Ulugbek Soliyev</v>
      </c>
      <c r="L21" s="4" t="str">
        <f t="shared" si="1"/>
        <v xml:space="preserve">Xonobod 12</v>
      </c>
      <c r="M21" s="4">
        <f t="shared" si="2"/>
        <v>4128</v>
      </c>
      <c r="N21" s="4" t="str">
        <f t="shared" si="3"/>
        <v>Zo'r</v>
      </c>
      <c r="O21" s="4" t="str">
        <f t="shared" si="4"/>
        <v>Yuqori</v>
      </c>
      <c r="P21" s="4">
        <f t="shared" si="5"/>
        <v>4571</v>
      </c>
      <c r="Q21" s="4" t="str">
        <f t="shared" si="6"/>
        <v xml:space="preserve">Top employee</v>
      </c>
      <c r="R21" s="4">
        <f t="shared" si="7"/>
        <v>443</v>
      </c>
      <c r="S21" s="4">
        <f t="shared" si="8"/>
        <v>49536</v>
      </c>
      <c r="T21" s="4">
        <f t="shared" si="9"/>
        <v>2285.5</v>
      </c>
      <c r="U21" s="4">
        <f t="shared" si="10"/>
        <v>4128</v>
      </c>
      <c r="V21" s="4" t="str">
        <f t="shared" si="11"/>
        <v/>
      </c>
    </row>
    <row r="22">
      <c r="A22" s="4">
        <v>644</v>
      </c>
      <c r="B22" s="4" t="s">
        <v>87</v>
      </c>
      <c r="C22" s="4" t="s">
        <v>88</v>
      </c>
      <c r="D22" s="4" t="s">
        <v>89</v>
      </c>
      <c r="E22" s="5">
        <v>4881</v>
      </c>
      <c r="F22" s="6">
        <v>429</v>
      </c>
      <c r="G22" s="4" t="s">
        <v>12</v>
      </c>
      <c r="H22" s="4" t="s">
        <v>13</v>
      </c>
      <c r="I22" s="4" t="s">
        <v>14</v>
      </c>
      <c r="K22" s="4" t="str">
        <f t="shared" si="0"/>
        <v xml:space="preserve">Dilmurod Akbarov</v>
      </c>
      <c r="L22" s="4" t="str">
        <f t="shared" si="1"/>
        <v xml:space="preserve">Registon 5</v>
      </c>
      <c r="M22" s="4">
        <f t="shared" si="2"/>
        <v>4881</v>
      </c>
      <c r="N22" s="4" t="str">
        <f t="shared" si="3"/>
        <v>Zo'r</v>
      </c>
      <c r="O22" s="4" t="str">
        <f t="shared" si="4"/>
        <v>Yuqori</v>
      </c>
      <c r="P22" s="4">
        <f t="shared" si="5"/>
        <v>5310</v>
      </c>
      <c r="Q22" s="4" t="str">
        <f t="shared" si="6"/>
        <v xml:space="preserve">Top employee</v>
      </c>
      <c r="R22" s="4">
        <f t="shared" si="7"/>
        <v>429</v>
      </c>
      <c r="S22" s="4">
        <f t="shared" si="8"/>
        <v>58572</v>
      </c>
      <c r="T22" s="4">
        <f t="shared" si="9"/>
        <v>2655</v>
      </c>
      <c r="U22" s="4">
        <f t="shared" si="10"/>
        <v>4881</v>
      </c>
      <c r="V22" s="4" t="str">
        <f t="shared" si="11"/>
        <v>VIP</v>
      </c>
    </row>
    <row r="23">
      <c r="A23" s="4">
        <v>1353</v>
      </c>
      <c r="B23" s="4" t="s">
        <v>90</v>
      </c>
      <c r="C23" s="4" t="s">
        <v>91</v>
      </c>
      <c r="D23" s="4" t="s">
        <v>92</v>
      </c>
      <c r="E23" s="5">
        <v>4130</v>
      </c>
      <c r="F23" s="6">
        <v>750</v>
      </c>
      <c r="G23" s="4" t="s">
        <v>19</v>
      </c>
      <c r="H23" s="4" t="s">
        <v>20</v>
      </c>
      <c r="I23" s="4" t="s">
        <v>21</v>
      </c>
      <c r="K23" s="4" t="str">
        <f t="shared" si="0"/>
        <v xml:space="preserve">Aziz Raxmatov</v>
      </c>
      <c r="L23" s="4" t="str">
        <f t="shared" si="1"/>
        <v xml:space="preserve">Chilonzor 77</v>
      </c>
      <c r="M23" s="4">
        <f t="shared" si="2"/>
        <v>4130</v>
      </c>
      <c r="N23" s="4" t="str">
        <f t="shared" si="3"/>
        <v>Zo'r</v>
      </c>
      <c r="O23" s="4" t="str">
        <f t="shared" si="4"/>
        <v>Yuqori</v>
      </c>
      <c r="P23" s="4">
        <f t="shared" si="5"/>
        <v>4880</v>
      </c>
      <c r="Q23" s="4" t="str">
        <f t="shared" si="6"/>
        <v xml:space="preserve">Top employee</v>
      </c>
      <c r="R23" s="4">
        <f t="shared" si="7"/>
        <v>850</v>
      </c>
      <c r="S23" s="4">
        <f t="shared" si="8"/>
        <v>49560</v>
      </c>
      <c r="T23" s="4">
        <f t="shared" si="9"/>
        <v>2440</v>
      </c>
      <c r="U23" s="4">
        <f t="shared" si="10"/>
        <v>4130</v>
      </c>
      <c r="V23" s="4" t="str">
        <f t="shared" si="11"/>
        <v/>
      </c>
    </row>
    <row r="24">
      <c r="A24" s="4">
        <v>114</v>
      </c>
      <c r="B24" s="4" t="s">
        <v>93</v>
      </c>
      <c r="C24" s="4" t="s">
        <v>94</v>
      </c>
      <c r="D24" s="4" t="s">
        <v>95</v>
      </c>
      <c r="E24" s="5">
        <v>1271</v>
      </c>
      <c r="F24" s="6">
        <v>671</v>
      </c>
      <c r="G24" s="4" t="s">
        <v>12</v>
      </c>
      <c r="H24" s="4" t="s">
        <v>13</v>
      </c>
      <c r="I24" s="4" t="s">
        <v>14</v>
      </c>
      <c r="K24" s="4" t="str">
        <f t="shared" si="0"/>
        <v xml:space="preserve">Javlon Soliyev</v>
      </c>
      <c r="L24" s="4" t="str">
        <f t="shared" si="1"/>
        <v xml:space="preserve">Sergeli 90</v>
      </c>
      <c r="M24" s="4">
        <f t="shared" si="2"/>
        <v>1271</v>
      </c>
      <c r="N24" s="4" t="str">
        <f t="shared" si="3"/>
        <v>Kam</v>
      </c>
      <c r="O24" s="4" t="str">
        <f t="shared" si="4"/>
        <v>Past</v>
      </c>
      <c r="P24" s="4">
        <f t="shared" si="5"/>
        <v>1942</v>
      </c>
      <c r="Q24" s="4" t="str">
        <f t="shared" si="6"/>
        <v/>
      </c>
      <c r="R24" s="4">
        <f t="shared" si="7"/>
        <v>771</v>
      </c>
      <c r="S24" s="4">
        <f t="shared" si="8"/>
        <v>15252</v>
      </c>
      <c r="T24" s="4">
        <f t="shared" si="9"/>
        <v>971</v>
      </c>
      <c r="U24" s="4">
        <f t="shared" si="10"/>
        <v>1398.1000000000001</v>
      </c>
      <c r="V24" s="4" t="str">
        <f t="shared" si="11"/>
        <v/>
      </c>
    </row>
    <row r="25">
      <c r="A25" s="4">
        <v>1835</v>
      </c>
      <c r="B25" s="4" t="s">
        <v>96</v>
      </c>
      <c r="C25" s="4" t="s">
        <v>97</v>
      </c>
      <c r="D25" s="4" t="s">
        <v>98</v>
      </c>
      <c r="E25" s="5">
        <v>1987</v>
      </c>
      <c r="F25" s="6">
        <v>879</v>
      </c>
      <c r="G25" s="4" t="s">
        <v>19</v>
      </c>
      <c r="H25" s="4" t="s">
        <v>20</v>
      </c>
      <c r="I25" s="4" t="s">
        <v>21</v>
      </c>
      <c r="K25" s="4" t="str">
        <f t="shared" si="0"/>
        <v xml:space="preserve">Sardor Karimov</v>
      </c>
      <c r="L25" s="4" t="str">
        <f t="shared" si="1"/>
        <v xml:space="preserve">Uychi 11</v>
      </c>
      <c r="M25" s="4">
        <f t="shared" si="2"/>
        <v>1987</v>
      </c>
      <c r="N25" s="4" t="str">
        <f t="shared" si="3"/>
        <v>Kam</v>
      </c>
      <c r="O25" s="4" t="str">
        <f t="shared" si="4"/>
        <v>Past</v>
      </c>
      <c r="P25" s="4">
        <f t="shared" si="5"/>
        <v>2866</v>
      </c>
      <c r="Q25" s="4" t="str">
        <f t="shared" si="6"/>
        <v/>
      </c>
      <c r="R25" s="4">
        <f t="shared" si="7"/>
        <v>979</v>
      </c>
      <c r="S25" s="4">
        <f t="shared" si="8"/>
        <v>23844</v>
      </c>
      <c r="T25" s="4">
        <f t="shared" si="9"/>
        <v>1433</v>
      </c>
      <c r="U25" s="4">
        <f t="shared" si="10"/>
        <v>2185.7000000000003</v>
      </c>
      <c r="V25" s="4" t="str">
        <f t="shared" si="11"/>
        <v/>
      </c>
    </row>
    <row r="26">
      <c r="A26" s="4">
        <v>1943</v>
      </c>
      <c r="B26" s="4" t="s">
        <v>99</v>
      </c>
      <c r="C26" s="4" t="s">
        <v>100</v>
      </c>
      <c r="D26" s="4" t="s">
        <v>101</v>
      </c>
      <c r="E26" s="5">
        <v>2310</v>
      </c>
      <c r="F26" s="6">
        <v>861</v>
      </c>
      <c r="G26" s="4" t="s">
        <v>12</v>
      </c>
      <c r="H26" s="4" t="s">
        <v>13</v>
      </c>
      <c r="I26" s="4" t="s">
        <v>14</v>
      </c>
      <c r="K26" s="4" t="str">
        <f t="shared" si="0"/>
        <v xml:space="preserve">Komron Raxmonov</v>
      </c>
      <c r="L26" s="4" t="str">
        <f t="shared" si="1"/>
        <v xml:space="preserve">Olmazor 15</v>
      </c>
      <c r="M26" s="4">
        <f t="shared" si="2"/>
        <v>2310</v>
      </c>
      <c r="N26" s="4" t="str">
        <f t="shared" si="3"/>
        <v>Kam</v>
      </c>
      <c r="O26" s="4" t="str">
        <f t="shared" si="4"/>
        <v>Past</v>
      </c>
      <c r="P26" s="4">
        <f t="shared" si="5"/>
        <v>3171</v>
      </c>
      <c r="Q26" s="4" t="str">
        <f t="shared" si="6"/>
        <v/>
      </c>
      <c r="R26" s="4">
        <f t="shared" si="7"/>
        <v>961</v>
      </c>
      <c r="S26" s="4">
        <f t="shared" si="8"/>
        <v>27720</v>
      </c>
      <c r="T26" s="4">
        <f t="shared" si="9"/>
        <v>1585.5</v>
      </c>
      <c r="U26" s="4">
        <f t="shared" si="10"/>
        <v>2310</v>
      </c>
      <c r="V26" s="4" t="str">
        <f t="shared" si="11"/>
        <v/>
      </c>
    </row>
    <row r="27">
      <c r="A27" s="4">
        <v>295</v>
      </c>
      <c r="B27" s="4" t="s">
        <v>102</v>
      </c>
      <c r="C27" s="4" t="s">
        <v>103</v>
      </c>
      <c r="D27" s="4" t="s">
        <v>104</v>
      </c>
      <c r="E27" s="5">
        <v>1227</v>
      </c>
      <c r="F27" s="6">
        <v>425</v>
      </c>
      <c r="G27" s="4" t="s">
        <v>19</v>
      </c>
      <c r="H27" s="4" t="s">
        <v>20</v>
      </c>
      <c r="I27" s="4" t="s">
        <v>21</v>
      </c>
      <c r="K27" s="4" t="str">
        <f t="shared" si="0"/>
        <v xml:space="preserve">Shodiyor Akbarov</v>
      </c>
      <c r="L27" s="4" t="str">
        <f t="shared" si="1"/>
        <v xml:space="preserve">Pastdargom 20</v>
      </c>
      <c r="M27" s="4">
        <f t="shared" si="2"/>
        <v>1227</v>
      </c>
      <c r="N27" s="4" t="str">
        <f t="shared" si="3"/>
        <v>Kam</v>
      </c>
      <c r="O27" s="4" t="str">
        <f t="shared" si="4"/>
        <v>Past</v>
      </c>
      <c r="P27" s="4">
        <f t="shared" si="5"/>
        <v>1652</v>
      </c>
      <c r="Q27" s="4" t="str">
        <f t="shared" si="6"/>
        <v/>
      </c>
      <c r="R27" s="4">
        <f t="shared" si="7"/>
        <v>425</v>
      </c>
      <c r="S27" s="4">
        <f t="shared" si="8"/>
        <v>14724</v>
      </c>
      <c r="T27" s="4">
        <f t="shared" si="9"/>
        <v>826</v>
      </c>
      <c r="U27" s="4">
        <f t="shared" si="10"/>
        <v>1349.7</v>
      </c>
      <c r="V27" s="4" t="str">
        <f t="shared" si="11"/>
        <v/>
      </c>
    </row>
    <row r="28">
      <c r="A28" s="4">
        <v>657</v>
      </c>
      <c r="B28" s="4" t="s">
        <v>105</v>
      </c>
      <c r="C28" s="4" t="s">
        <v>106</v>
      </c>
      <c r="D28" s="4" t="s">
        <v>107</v>
      </c>
      <c r="E28" s="5">
        <v>2056</v>
      </c>
      <c r="F28" s="6">
        <v>217</v>
      </c>
      <c r="G28" s="4" t="s">
        <v>12</v>
      </c>
      <c r="H28" s="4" t="s">
        <v>13</v>
      </c>
      <c r="I28" s="4" t="s">
        <v>14</v>
      </c>
      <c r="K28" s="4" t="str">
        <f t="shared" si="0"/>
        <v xml:space="preserve">Jashon Raximov</v>
      </c>
      <c r="L28" s="4" t="str">
        <f t="shared" si="1"/>
        <v xml:space="preserve">Shahrixon 6</v>
      </c>
      <c r="M28" s="4">
        <f t="shared" si="2"/>
        <v>2056</v>
      </c>
      <c r="N28" s="4" t="str">
        <f t="shared" si="3"/>
        <v>Kam</v>
      </c>
      <c r="O28" s="4" t="str">
        <f t="shared" si="4"/>
        <v>Past</v>
      </c>
      <c r="P28" s="4">
        <f t="shared" si="5"/>
        <v>2273</v>
      </c>
      <c r="Q28" s="4" t="str">
        <f t="shared" si="6"/>
        <v/>
      </c>
      <c r="R28" s="4">
        <f t="shared" si="7"/>
        <v>217</v>
      </c>
      <c r="S28" s="4">
        <f t="shared" si="8"/>
        <v>24672</v>
      </c>
      <c r="T28" s="4">
        <f t="shared" si="9"/>
        <v>1136.5</v>
      </c>
      <c r="U28" s="4">
        <f t="shared" si="10"/>
        <v>2056</v>
      </c>
      <c r="V28" s="4" t="str">
        <f t="shared" si="11"/>
        <v/>
      </c>
    </row>
    <row r="29">
      <c r="A29" s="4">
        <v>1057</v>
      </c>
      <c r="B29" s="4" t="s">
        <v>108</v>
      </c>
      <c r="C29" s="4" t="s">
        <v>109</v>
      </c>
      <c r="D29" s="4" t="s">
        <v>110</v>
      </c>
      <c r="E29" s="5">
        <v>3179</v>
      </c>
      <c r="F29" s="6">
        <v>566</v>
      </c>
      <c r="G29" s="4" t="s">
        <v>19</v>
      </c>
      <c r="H29" s="4" t="s">
        <v>20</v>
      </c>
      <c r="I29" s="4" t="s">
        <v>21</v>
      </c>
      <c r="K29" s="4" t="str">
        <f t="shared" si="0"/>
        <v xml:space="preserve">Abdukarim Soliyev</v>
      </c>
      <c r="L29" s="4" t="str">
        <f t="shared" si="1"/>
        <v xml:space="preserve">Yunusobod 1</v>
      </c>
      <c r="M29" s="4">
        <f t="shared" si="2"/>
        <v>3179</v>
      </c>
      <c r="N29" s="4" t="str">
        <f t="shared" si="3"/>
        <v>Zo'r</v>
      </c>
      <c r="O29" s="4" t="str">
        <f t="shared" si="4"/>
        <v>Yuqori</v>
      </c>
      <c r="P29" s="4">
        <f t="shared" si="5"/>
        <v>3745</v>
      </c>
      <c r="Q29" s="4" t="str">
        <f t="shared" si="6"/>
        <v/>
      </c>
      <c r="R29" s="4">
        <f t="shared" si="7"/>
        <v>666</v>
      </c>
      <c r="S29" s="4">
        <f t="shared" si="8"/>
        <v>38148</v>
      </c>
      <c r="T29" s="4">
        <f t="shared" si="9"/>
        <v>1872.5</v>
      </c>
      <c r="U29" s="4">
        <f t="shared" si="10"/>
        <v>3179</v>
      </c>
      <c r="V29" s="4" t="str">
        <f t="shared" si="11"/>
        <v/>
      </c>
    </row>
    <row r="30">
      <c r="A30" s="4">
        <v>249</v>
      </c>
      <c r="B30" s="4" t="s">
        <v>111</v>
      </c>
      <c r="C30" s="4" t="s">
        <v>112</v>
      </c>
      <c r="D30" s="4" t="s">
        <v>113</v>
      </c>
      <c r="E30" s="5">
        <v>4670</v>
      </c>
      <c r="F30" s="6">
        <v>209</v>
      </c>
      <c r="G30" s="4" t="s">
        <v>12</v>
      </c>
      <c r="H30" s="4" t="s">
        <v>13</v>
      </c>
      <c r="I30" s="4" t="s">
        <v>14</v>
      </c>
      <c r="K30" s="4" t="str">
        <f t="shared" si="0"/>
        <v xml:space="preserve">Muhammad Akbarov</v>
      </c>
      <c r="L30" s="4" t="str">
        <f t="shared" si="1"/>
        <v xml:space="preserve">Chilonzor 55</v>
      </c>
      <c r="M30" s="4">
        <f t="shared" si="2"/>
        <v>4670</v>
      </c>
      <c r="N30" s="4" t="str">
        <f t="shared" si="3"/>
        <v>Zo'r</v>
      </c>
      <c r="O30" s="4" t="str">
        <f t="shared" si="4"/>
        <v>Yuqori</v>
      </c>
      <c r="P30" s="4">
        <f t="shared" si="5"/>
        <v>4879</v>
      </c>
      <c r="Q30" s="4" t="str">
        <f t="shared" si="6"/>
        <v xml:space="preserve">Top employee</v>
      </c>
      <c r="R30" s="4">
        <f t="shared" si="7"/>
        <v>209</v>
      </c>
      <c r="S30" s="4">
        <f t="shared" si="8"/>
        <v>56040</v>
      </c>
      <c r="T30" s="4">
        <f t="shared" si="9"/>
        <v>2439.5</v>
      </c>
      <c r="U30" s="4">
        <f t="shared" si="10"/>
        <v>4670</v>
      </c>
      <c r="V30" s="4" t="str">
        <f t="shared" si="11"/>
        <v/>
      </c>
    </row>
    <row r="31">
      <c r="A31" s="4">
        <v>395</v>
      </c>
      <c r="B31" s="4" t="s">
        <v>114</v>
      </c>
      <c r="C31" s="4" t="s">
        <v>115</v>
      </c>
      <c r="D31" s="4" t="s">
        <v>116</v>
      </c>
      <c r="E31" s="5">
        <v>4552</v>
      </c>
      <c r="F31" s="6">
        <v>995</v>
      </c>
      <c r="G31" s="4" t="s">
        <v>19</v>
      </c>
      <c r="H31" s="4" t="s">
        <v>20</v>
      </c>
      <c r="I31" s="4" t="s">
        <v>21</v>
      </c>
      <c r="K31" s="4" t="str">
        <f t="shared" si="0"/>
        <v xml:space="preserve">Ilhomjon Raxmonov</v>
      </c>
      <c r="L31" s="4" t="str">
        <f t="shared" si="1"/>
        <v xml:space="preserve">Urgut 100</v>
      </c>
      <c r="M31" s="4">
        <f t="shared" si="2"/>
        <v>4552</v>
      </c>
      <c r="N31" s="4" t="str">
        <f t="shared" si="3"/>
        <v>Zo'r</v>
      </c>
      <c r="O31" s="4" t="str">
        <f t="shared" si="4"/>
        <v>Yuqori</v>
      </c>
      <c r="P31" s="4">
        <f t="shared" si="5"/>
        <v>5547</v>
      </c>
      <c r="Q31" s="4" t="str">
        <f t="shared" si="6"/>
        <v xml:space="preserve">Top employee</v>
      </c>
      <c r="R31" s="4">
        <f t="shared" si="7"/>
        <v>1095</v>
      </c>
      <c r="S31" s="4">
        <f t="shared" si="8"/>
        <v>54624</v>
      </c>
      <c r="T31" s="4">
        <f t="shared" si="9"/>
        <v>2773.5</v>
      </c>
      <c r="U31" s="4">
        <f t="shared" si="10"/>
        <v>4552</v>
      </c>
      <c r="V31" s="4" t="str">
        <f t="shared" si="11"/>
        <v>VIP</v>
      </c>
    </row>
    <row r="34">
      <c r="B34" s="8" t="s">
        <v>117</v>
      </c>
      <c r="C34" s="8" t="s">
        <v>118</v>
      </c>
      <c r="D34" s="8" t="s">
        <v>119</v>
      </c>
      <c r="E34" s="8" t="s">
        <v>120</v>
      </c>
      <c r="AA34" s="9">
        <v>1</v>
      </c>
      <c r="AB34" s="10" t="s">
        <v>121</v>
      </c>
    </row>
    <row r="35">
      <c r="B35" s="4" t="s">
        <v>122</v>
      </c>
      <c r="C35" s="4">
        <v>40000</v>
      </c>
      <c r="D35" s="4">
        <v>45000</v>
      </c>
      <c r="E35" s="4">
        <v>20000</v>
      </c>
      <c r="AA35" s="9">
        <v>2</v>
      </c>
      <c r="AB35" s="11" t="s">
        <v>123</v>
      </c>
    </row>
    <row r="36">
      <c r="B36" s="4" t="s">
        <v>124</v>
      </c>
      <c r="C36" s="4">
        <v>110000</v>
      </c>
      <c r="D36" s="4">
        <v>120000</v>
      </c>
      <c r="E36" s="4">
        <v>90000</v>
      </c>
      <c r="AA36" s="9">
        <v>3</v>
      </c>
      <c r="AB36" s="12" t="s">
        <v>125</v>
      </c>
    </row>
    <row r="37">
      <c r="B37" s="4" t="s">
        <v>126</v>
      </c>
      <c r="C37" s="4">
        <v>50000</v>
      </c>
      <c r="D37" s="4">
        <v>65000</v>
      </c>
      <c r="E37" s="4">
        <v>35000</v>
      </c>
      <c r="AA37" s="9">
        <v>4</v>
      </c>
      <c r="AB37" s="12" t="s">
        <v>127</v>
      </c>
    </row>
    <row r="38">
      <c r="B38" s="4" t="s">
        <v>128</v>
      </c>
      <c r="C38" s="4">
        <v>10000</v>
      </c>
      <c r="D38" s="4">
        <v>12000</v>
      </c>
      <c r="E38" s="4">
        <v>4999</v>
      </c>
      <c r="AA38" s="9">
        <v>5</v>
      </c>
      <c r="AB38" s="12" t="s">
        <v>129</v>
      </c>
    </row>
    <row r="39">
      <c r="B39" s="4" t="s">
        <v>130</v>
      </c>
      <c r="C39" s="4">
        <v>55000</v>
      </c>
      <c r="D39" s="4">
        <v>65000</v>
      </c>
      <c r="E39" s="4">
        <v>40000</v>
      </c>
      <c r="AA39" s="9">
        <v>6</v>
      </c>
      <c r="AB39" s="12" t="s">
        <v>131</v>
      </c>
    </row>
    <row r="40">
      <c r="B40" s="4" t="s">
        <v>132</v>
      </c>
      <c r="C40" s="4">
        <v>37000</v>
      </c>
      <c r="D40" s="4">
        <v>42000</v>
      </c>
      <c r="E40" s="4">
        <v>35000</v>
      </c>
      <c r="AA40" s="9">
        <v>7</v>
      </c>
      <c r="AB40" s="12" t="s">
        <v>133</v>
      </c>
    </row>
    <row r="41">
      <c r="B41" s="4"/>
      <c r="C41" s="4"/>
      <c r="D41" s="4"/>
      <c r="E41" s="4"/>
      <c r="AA41" s="9">
        <v>8</v>
      </c>
      <c r="AB41" s="12" t="s">
        <v>134</v>
      </c>
    </row>
    <row r="42">
      <c r="B42" s="4"/>
      <c r="C42" s="13" t="s">
        <v>135</v>
      </c>
      <c r="D42" s="13" t="s">
        <v>136</v>
      </c>
      <c r="E42" s="13" t="s">
        <v>137</v>
      </c>
      <c r="AA42" s="9">
        <v>9</v>
      </c>
      <c r="AB42" s="12" t="s">
        <v>138</v>
      </c>
    </row>
    <row r="43">
      <c r="B43" s="14" t="s">
        <v>128</v>
      </c>
      <c r="C43" s="4"/>
      <c r="D43" s="15"/>
      <c r="E43" s="4"/>
      <c r="AA43" s="9">
        <v>10</v>
      </c>
      <c r="AB43" s="12" t="s">
        <v>139</v>
      </c>
    </row>
    <row r="45">
      <c r="A45" s="16">
        <v>1</v>
      </c>
      <c r="B45" s="17" t="str">
        <f>IF(VLOOKUP(B37, B35:E40, 2, 0) &gt; 40000, "Qimmat", "Arzon")</f>
        <v>Qimmat</v>
      </c>
    </row>
    <row r="46">
      <c r="A46" s="16">
        <v>2</v>
      </c>
      <c r="B46" s="17" t="str">
        <f>IF(VLOOKUP(B38, B35:E40, 4, 0) &gt; 60000, "Premium", "Yo'q")</f>
        <v>Yo'q</v>
      </c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2023.08.31</dc:creator>
  <dc:description/>
  <dc:language>en-GB</dc:language>
  <cp:revision>3</cp:revision>
  <dcterms:created xsi:type="dcterms:W3CDTF">2026-04-01T15:24:59Z</dcterms:created>
  <dcterms:modified xsi:type="dcterms:W3CDTF">2026-04-09T04:49:29Z</dcterms:modified>
</cp:coreProperties>
</file>